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vincentcarrieres/carbonfact/lca/lca/notebooks/science/Vincent/Carbonfact database/Dyeing/"/>
    </mc:Choice>
  </mc:AlternateContent>
  <xr:revisionPtr revIDLastSave="0" documentId="13_ncr:1_{FBB4A6DF-99D0-2944-9531-BBB6AA19BC45}" xr6:coauthVersionLast="47" xr6:coauthVersionMax="47" xr10:uidLastSave="{00000000-0000-0000-0000-000000000000}"/>
  <bookViews>
    <workbookView xWindow="-5080" yWindow="-21100" windowWidth="38400" windowHeight="2110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08" i="1" l="1"/>
  <c r="B907" i="1"/>
  <c r="B906" i="1"/>
  <c r="B84" i="1"/>
  <c r="B83" i="1"/>
</calcChain>
</file>

<file path=xl/sharedStrings.xml><?xml version="1.0" encoding="utf-8"?>
<sst xmlns="http://schemas.openxmlformats.org/spreadsheetml/2006/main" count="4020" uniqueCount="203">
  <si>
    <t>Database</t>
  </si>
  <si>
    <t>Activity</t>
  </si>
  <si>
    <t>production amount</t>
  </si>
  <si>
    <t>comment</t>
  </si>
  <si>
    <t>reference product</t>
  </si>
  <si>
    <t>location</t>
  </si>
  <si>
    <t>GLO</t>
  </si>
  <si>
    <t>unit</t>
  </si>
  <si>
    <t>kg</t>
  </si>
  <si>
    <t>Exchanges</t>
  </si>
  <si>
    <t>name</t>
  </si>
  <si>
    <t>amount</t>
  </si>
  <si>
    <t>categories</t>
  </si>
  <si>
    <t>type</t>
  </si>
  <si>
    <t>database</t>
  </si>
  <si>
    <t>production</t>
  </si>
  <si>
    <t>market group for electricity, low voltage</t>
  </si>
  <si>
    <t>electricity, low voltage</t>
  </si>
  <si>
    <t>kWh</t>
  </si>
  <si>
    <t>technosphere</t>
  </si>
  <si>
    <t>ecoinvent-3.12-cutoff</t>
  </si>
  <si>
    <t>RoW</t>
  </si>
  <si>
    <t>MJ</t>
  </si>
  <si>
    <t>Carbonfact_Dyeing_DB</t>
  </si>
  <si>
    <t>market for non-ionic surfactant</t>
  </si>
  <si>
    <t>non-ionic surfactant</t>
  </si>
  <si>
    <t>market for acetic acid</t>
  </si>
  <si>
    <t>acetic acid</t>
  </si>
  <si>
    <t>market for sodium dithionite, anhydrous</t>
  </si>
  <si>
    <t>sodium dithionite, anhydrous</t>
  </si>
  <si>
    <t>market for organophosphorus-compound, unspecified</t>
  </si>
  <si>
    <t>organophosphorus-compound, unspecified</t>
  </si>
  <si>
    <t>market for ethoxylated alcohol (AE&gt;20)</t>
  </si>
  <si>
    <t>ethoxylated alcohol (AE&gt;20)</t>
  </si>
  <si>
    <t>market group for tap water</t>
  </si>
  <si>
    <t>tap water</t>
  </si>
  <si>
    <t>market for wastewater from textile production</t>
  </si>
  <si>
    <t>wastewater from textile production</t>
  </si>
  <si>
    <t>m3</t>
  </si>
  <si>
    <t>Water</t>
  </si>
  <si>
    <t>air</t>
  </si>
  <si>
    <t>biosphere</t>
  </si>
  <si>
    <t>ecoinvent-3.12-biosphere</t>
  </si>
  <si>
    <t>market for sodium sulfate, anhydrite</t>
  </si>
  <si>
    <t>sodium sulfate, anhydrite</t>
  </si>
  <si>
    <t>market for soda ash, light</t>
  </si>
  <si>
    <t>soda ash, light</t>
  </si>
  <si>
    <t>market for acrylic dispersion, with water, in 58% solution state</t>
  </si>
  <si>
    <t>acrylic dispersion, with water, in 58% solution state</t>
  </si>
  <si>
    <t>market for ammonium sulfate</t>
  </si>
  <si>
    <t>ammonium sulfate</t>
  </si>
  <si>
    <t>market for polyacrylamide</t>
  </si>
  <si>
    <t>polyacrylamide</t>
  </si>
  <si>
    <t>market for sodium hydroxide, without water, in 50% solution state</t>
  </si>
  <si>
    <t>sodium hydroxide, without water, in 50% solution state</t>
  </si>
  <si>
    <t>market for urea</t>
  </si>
  <si>
    <t>urea</t>
  </si>
  <si>
    <t>market for magnesium sulfate</t>
  </si>
  <si>
    <t>magnesium sulfate</t>
  </si>
  <si>
    <t>market for formic acid</t>
  </si>
  <si>
    <t>formic acid</t>
  </si>
  <si>
    <t>market for EDTA, ethylenediaminetetraacetic acid</t>
  </si>
  <si>
    <t>EDTA, ethylenediaminetetraacetic acid</t>
  </si>
  <si>
    <t>market for 2-nitroaniline</t>
  </si>
  <si>
    <t>2-nitroaniline</t>
  </si>
  <si>
    <t>bromine</t>
  </si>
  <si>
    <t>methanol</t>
  </si>
  <si>
    <t>Bromine</t>
  </si>
  <si>
    <t>market for bromine</t>
  </si>
  <si>
    <t>market for hydrochloric acid, without water, in 30% solution state</t>
  </si>
  <si>
    <t>hydrochloric acid, without water, in 30% solution state</t>
  </si>
  <si>
    <t>market for methanol</t>
  </si>
  <si>
    <t>market for sodium chloride, powder</t>
  </si>
  <si>
    <t>sodium chloride, powder</t>
  </si>
  <si>
    <t>Azo disperse dyes, from diazotization-coupling production</t>
  </si>
  <si>
    <t>azo disperse dyes, from diazotization-coupling</t>
  </si>
  <si>
    <t>azo acid dyes, from bromisation</t>
  </si>
  <si>
    <t>Azo acid dyes, from bromisation production</t>
  </si>
  <si>
    <t>o-phenylene diamine</t>
  </si>
  <si>
    <t>sodium nitrite</t>
  </si>
  <si>
    <t>sulfuric acid</t>
  </si>
  <si>
    <t>market for o-phenylene diamine</t>
  </si>
  <si>
    <t>market for sodium nitrite</t>
  </si>
  <si>
    <t>market for sulfuric acid</t>
  </si>
  <si>
    <t>cyanuric chloride</t>
  </si>
  <si>
    <t>sodium bicarbonate</t>
  </si>
  <si>
    <t>naphthalene sulfonic acid</t>
  </si>
  <si>
    <t>market for cyanuric chloride</t>
  </si>
  <si>
    <t>market for sodium bicarbonate</t>
  </si>
  <si>
    <t>market for naphthalene sulfonic acid</t>
  </si>
  <si>
    <t>Azo reactive dyes, from monochlorotriazine production</t>
  </si>
  <si>
    <t>azo reactive dyes, from monochlorotriazine</t>
  </si>
  <si>
    <t>Anthraquinone vat dyes, from alkali fusion production</t>
  </si>
  <si>
    <t>anthraquinone vat dyes, from alkali fusion</t>
  </si>
  <si>
    <t>glycine</t>
  </si>
  <si>
    <t>sodium amide</t>
  </si>
  <si>
    <t>market for glycine</t>
  </si>
  <si>
    <t>market for sodium amide</t>
  </si>
  <si>
    <t>market for cooling energy</t>
  </si>
  <si>
    <t>cooling energy</t>
  </si>
  <si>
    <t>Fabric dyeing, Exhaust, Airflow jet, Acid, Animal Fibers, Medium Shade</t>
  </si>
  <si>
    <t>Fabric dyeing | Exhaust | Airflow jet</t>
  </si>
  <si>
    <t>dyed fabric, airflow jet, acid, animal fibers, medium shade</t>
  </si>
  <si>
    <t>kilowatt hour</t>
  </si>
  <si>
    <t>megajoule</t>
  </si>
  <si>
    <t>kilogram</t>
  </si>
  <si>
    <t>cubic meter</t>
  </si>
  <si>
    <t>Fabric dyeing, Exhaust, Airflow jet, Acid, Synthetic Fibers, Medium Shade</t>
  </si>
  <si>
    <t>dyed fabric, airflow jet, acid, synthetic fibers, medium shade</t>
  </si>
  <si>
    <t>Fabric dyeing, Exhaust, Airflow jet, Disperse, Synthetic Fibers, Medium Shade</t>
  </si>
  <si>
    <t>dyed fabric, airflow jet, disperse, synthetic fibers, medium shade</t>
  </si>
  <si>
    <t>Fabric dyeing, Exhaust, Airflow jet, Reactive, Cellulosic Fibers, Medium Shade</t>
  </si>
  <si>
    <t>dyed fabric, airflow jet, reactive, cellulosic fibers, medium shade</t>
  </si>
  <si>
    <t>Fabric dyeing, Exhaust, Softflow jet, Acid, Animal Fibers, Medium Shade</t>
  </si>
  <si>
    <t>Fabric dyeing | Exhaust | Softflow jet</t>
  </si>
  <si>
    <t>dyed fabric, softflow jet, acid, animal fibers, medium shade</t>
  </si>
  <si>
    <t>Fabric dyeing, Exhaust, Softflow jet, Acid, Synthetic Fibers, Medium Shade</t>
  </si>
  <si>
    <t>dyed fabric, softflow jet, acid, synthetic fibers, medium shade</t>
  </si>
  <si>
    <t>Fabric dyeing, Exhaust, Softflow jet, Disperse, Synthetic Fibers, Medium Shade</t>
  </si>
  <si>
    <t>dyed fabric, softflow jet, disperse, synthetic fibers, medium shade</t>
  </si>
  <si>
    <t>Fabric dyeing, Exhaust, Softflow jet, Reactive, Cellulosic Fibers, Medium Shade</t>
  </si>
  <si>
    <t>dyed fabric, softflow jet, reactive, cellulosic fibers, medium shade</t>
  </si>
  <si>
    <t>Fabric dyeing, Exhaust, Conventional jet, Acid, Animal Fibers, Medium Shade</t>
  </si>
  <si>
    <t>Fabric dyeing | Exhaust | Conventional jet</t>
  </si>
  <si>
    <t>dyed fabric, conventional jet, acid, animal fibers, medium shade</t>
  </si>
  <si>
    <t>Fabric dyeing, Exhaust, Conventional jet, Acid, Synthetic Fibers, Medium Shade</t>
  </si>
  <si>
    <t>dyed fabric, conventional jet, acid, synthetic fibers, medium shade</t>
  </si>
  <si>
    <t>Fabric dyeing, Exhaust, Conventional jet, Disperse, Synthetic Fibers, Medium Shade</t>
  </si>
  <si>
    <t>dyed fabric, conventional jet, disperse, synthetic fibers, medium shade</t>
  </si>
  <si>
    <t>Fabric dyeing, Exhaust, Conventional jet, Reactive, Cellulosic Fibers, Medium Shade</t>
  </si>
  <si>
    <t>dyed fabric, conventional jet, reactive, cellulosic fibers, medium shade</t>
  </si>
  <si>
    <t>Fabric dyeing, Exhaust, Beam, Acid, Animal Fibers, Medium Shade</t>
  </si>
  <si>
    <t>Fabric dyeing | Exhaust | Beam</t>
  </si>
  <si>
    <t>dyed fabric, beam, acid, animal fibers, medium shade</t>
  </si>
  <si>
    <t>Fabric dyeing, Exhaust, Beam, Acid, Synthetic Fibers, Medium Shade</t>
  </si>
  <si>
    <t>dyed fabric, beam, acid, synthetic fibers, medium shade</t>
  </si>
  <si>
    <t>Fabric dyeing, Exhaust, Beam, Disperse, Synthetic Fibers, Medium Shade</t>
  </si>
  <si>
    <t>dyed fabric, beam, disperse, synthetic fibers, medium shade</t>
  </si>
  <si>
    <t>Fabric dyeing, Exhaust, Beam, Reactive, Cellulosic Fibers, Medium Shade</t>
  </si>
  <si>
    <t>dyed fabric, beam, reactive, cellulosic fibers, medium shade</t>
  </si>
  <si>
    <t>Fabric dyeing, Semi-continuous, CPB, Reactive, Cellulosic Fibers, Medium Shade</t>
  </si>
  <si>
    <t>Fabric dyeing | Semi-continuous | CPB</t>
  </si>
  <si>
    <t>dyed fabric, cpb, reactive, cellulosic fibers, medium shade</t>
  </si>
  <si>
    <t>Fabric dyeing, Continuous, Pad steam, Acid, Animal Fibers, Medium Shade</t>
  </si>
  <si>
    <t>Fabric dyeing | Continuous | Pad steam</t>
  </si>
  <si>
    <t>dyed fabric, pad steam, acid, animal fibers, medium shade</t>
  </si>
  <si>
    <t>Fabric dyeing, Continuous, Pad steam, Reactive, Cellulosic Fibers, Medium Shade</t>
  </si>
  <si>
    <t>dyed fabric, pad steam, reactive, cellulosic fibers, medium shade</t>
  </si>
  <si>
    <t>Fabric dyeing, Continuous, Pad steam, Vat, Cellulosic Fibers, Medium Shade</t>
  </si>
  <si>
    <t>dyed fabric, pad steam, vat, cellulosic fibers, medium shade</t>
  </si>
  <si>
    <t>Fabric dyeing, Continuous, Thermosol, Disperse, Synthetic Fibers, Medium Shade</t>
  </si>
  <si>
    <t>Fabric dyeing | Continuous | Thermosol</t>
  </si>
  <si>
    <t>dyed fabric, thermosol, disperse, synthetic fibers, medium shade</t>
  </si>
  <si>
    <t>Yarn dyeing, Exhaust, Package, Acid, Animal Fibers, Medium Shade</t>
  </si>
  <si>
    <t>Yarn dyeing | Exhaust | Package</t>
  </si>
  <si>
    <t>dyed yarn, package, acid, animal fibers, medium shade</t>
  </si>
  <si>
    <t>Yarn dyeing, Exhaust, Package, Acid, Synthetic Fibers, Medium Shade</t>
  </si>
  <si>
    <t>dyed yarn, package, acid, synthetic fibers, medium shade</t>
  </si>
  <si>
    <t>Yarn dyeing, Exhaust, Package, Disperse, Synthetic Fibers, Medium Shade</t>
  </si>
  <si>
    <t>dyed yarn, package, disperse, synthetic fibers, medium shade</t>
  </si>
  <si>
    <t>market for silicone product</t>
  </si>
  <si>
    <t>silicone product</t>
  </si>
  <si>
    <t>Yarn dyeing, Exhaust, Package, Reactive, Cellulosic Fibers, Medium Shade</t>
  </si>
  <si>
    <t>dyed yarn, package, reactive, cellulosic fibers, medium shade</t>
  </si>
  <si>
    <t>Yarn dyeing, Exhaust, Package, Vat, Cellulosic Fibers, Medium Shade</t>
  </si>
  <si>
    <t>dyed yarn, package, vat, cellulosic fibers, medium shade</t>
  </si>
  <si>
    <t>Yarn dyeing, Exhaust, Hank, Acid, Animal Fibers, Medium Shade</t>
  </si>
  <si>
    <t>Yarn dyeing | Exhaust | Hank</t>
  </si>
  <si>
    <t>dyed yarn, hank, acid, animal fibers, medium shade</t>
  </si>
  <si>
    <t>Yarn dyeing, Exhaust, Hank, Acid, Synthetic Fibers, Medium Shade</t>
  </si>
  <si>
    <t>dyed yarn, hank, acid, synthetic fibers, medium shade</t>
  </si>
  <si>
    <t>Yarn dyeing, Exhaust, Hank, Disperse, Synthetic Fibers, Medium Shade</t>
  </si>
  <si>
    <t>dyed yarn, hank, disperse, synthetic fibers, medium shade</t>
  </si>
  <si>
    <t>Yarn dyeing, Exhaust, Hank, Reactive, Cellulosic Fibers, Medium Shade</t>
  </si>
  <si>
    <t>dyed yarn, hank, reactive, cellulosic fibers, medium shade</t>
  </si>
  <si>
    <t>Yarn dyeing, Exhaust, Hank, Vat, Cellulosic Fibers, Medium Shade</t>
  </si>
  <si>
    <t>dyed yarn, hank, vat, cellulosic fibers, medium shade</t>
  </si>
  <si>
    <t>Yarn dyeing, Continuous, Rope, Indigo, Cellulosic Fibers, Medium Shade</t>
  </si>
  <si>
    <t>Yarn dyeing | Continuous | Rope</t>
  </si>
  <si>
    <t>dyed yarn, rope, indigo, cellulosic fibers, medium shade</t>
  </si>
  <si>
    <t>market for sodium hydrosulfide</t>
  </si>
  <si>
    <t>sodium hydrosulfide</t>
  </si>
  <si>
    <t>Garment dyeing, Exhaust, Front Loader, Reactive, Cellulosic Fibers, Medium Shade</t>
  </si>
  <si>
    <t>Garment dyeing | Exhaust | Front Loader</t>
  </si>
  <si>
    <t>dyed garment, front loader, reactive, cellulosic fibers, medium shade</t>
  </si>
  <si>
    <t>Fiber dyeing, Exhaust, Package, Acid, Animal Fibers, Medium Shade</t>
  </si>
  <si>
    <t>Fiber dyeing | Exhaust | Package</t>
  </si>
  <si>
    <t>dyed garment, package, acid, animal fibers, medium shade</t>
  </si>
  <si>
    <t>Fiber dyeing, Exhaust, Package, Acid, Synthetic Fibers, Medium Shade</t>
  </si>
  <si>
    <t>dyed garment, package, acid, synthetic fibers, medium shade</t>
  </si>
  <si>
    <t>Fiber dyeing, Exhaust, Package, Disperse, Synthetic Fibers, Medium Shade</t>
  </si>
  <si>
    <t>dyed garment, package, disperse, synthetic fibers, medium shade</t>
  </si>
  <si>
    <t>Fiber dyeing, Exhaust, Package, Reactive, Cellulosic Fibers, Medium Shade</t>
  </si>
  <si>
    <t>dyed garment, package, reactive, cellulosic fibers, medium shade</t>
  </si>
  <si>
    <t>Fiber dyeing, Exhaust, Package, Vat, Cellulosic Fibers, Medium Shade</t>
  </si>
  <si>
    <t>dyed garment, package, vat, cellulosic fibers, medium shade</t>
  </si>
  <si>
    <t>Heat, for dyeing process, production mix</t>
  </si>
  <si>
    <t>heat, for dyeing process</t>
  </si>
  <si>
    <t>heat production, natural gas, at industrial furnace &gt;100kW</t>
  </si>
  <si>
    <t>heat, district or industrial, natural gas</t>
  </si>
  <si>
    <t>heat production, at hard coal industrial furnace 1-10MW</t>
  </si>
  <si>
    <t>heat, district or industrial, other than natural gas</t>
  </si>
  <si>
    <t>heat production, light fuel oil, at industrial furnace 1MW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</si>
</sst>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08"/>
  <sheetViews>
    <sheetView tabSelected="1" topLeftCell="A871" workbookViewId="0">
      <selection activeCell="B906" sqref="B906"/>
    </sheetView>
  </sheetViews>
  <sheetFormatPr baseColWidth="10" defaultColWidth="8.83203125" defaultRowHeight="15" x14ac:dyDescent="0.2"/>
  <cols>
    <col min="1" max="2" width="52.6640625" bestFit="1" customWidth="1"/>
    <col min="3" max="3" width="44.1640625" bestFit="1" customWidth="1"/>
    <col min="4" max="4" width="11.5" customWidth="1"/>
    <col min="5" max="5" width="13.1640625" customWidth="1"/>
    <col min="7" max="7" width="21" customWidth="1"/>
    <col min="8" max="8" width="20.83203125" bestFit="1" customWidth="1"/>
    <col min="9" max="9" width="22.33203125" customWidth="1"/>
  </cols>
  <sheetData>
    <row r="1" spans="1:9" x14ac:dyDescent="0.2">
      <c r="A1" t="s">
        <v>0</v>
      </c>
      <c r="B1" t="s">
        <v>23</v>
      </c>
    </row>
    <row r="3" spans="1:9" x14ac:dyDescent="0.2">
      <c r="A3" t="s">
        <v>1</v>
      </c>
      <c r="B3" t="s">
        <v>77</v>
      </c>
    </row>
    <row r="4" spans="1:9" x14ac:dyDescent="0.2">
      <c r="A4" t="s">
        <v>2</v>
      </c>
      <c r="B4">
        <v>1</v>
      </c>
    </row>
    <row r="5" spans="1:9" x14ac:dyDescent="0.2">
      <c r="A5" t="s">
        <v>3</v>
      </c>
    </row>
    <row r="6" spans="1:9" x14ac:dyDescent="0.2">
      <c r="A6" t="s">
        <v>4</v>
      </c>
      <c r="B6" t="s">
        <v>76</v>
      </c>
    </row>
    <row r="7" spans="1:9" x14ac:dyDescent="0.2">
      <c r="A7" t="s">
        <v>5</v>
      </c>
      <c r="B7" t="s">
        <v>6</v>
      </c>
    </row>
    <row r="8" spans="1:9" x14ac:dyDescent="0.2">
      <c r="A8" t="s">
        <v>7</v>
      </c>
      <c r="B8" t="s">
        <v>8</v>
      </c>
    </row>
    <row r="9" spans="1:9" x14ac:dyDescent="0.2">
      <c r="A9" t="s">
        <v>9</v>
      </c>
    </row>
    <row r="10" spans="1:9" x14ac:dyDescent="0.2">
      <c r="A10" t="s">
        <v>10</v>
      </c>
      <c r="B10" t="s">
        <v>11</v>
      </c>
      <c r="C10" t="s">
        <v>4</v>
      </c>
      <c r="D10" t="s">
        <v>5</v>
      </c>
      <c r="E10" t="s">
        <v>7</v>
      </c>
      <c r="F10" t="s">
        <v>12</v>
      </c>
      <c r="G10" t="s">
        <v>13</v>
      </c>
      <c r="H10" t="s">
        <v>14</v>
      </c>
      <c r="I10" t="s">
        <v>3</v>
      </c>
    </row>
    <row r="11" spans="1:9" x14ac:dyDescent="0.2">
      <c r="A11" t="s">
        <v>77</v>
      </c>
      <c r="B11">
        <v>1</v>
      </c>
      <c r="C11" t="s">
        <v>76</v>
      </c>
      <c r="D11" t="s">
        <v>6</v>
      </c>
      <c r="E11" t="s">
        <v>8</v>
      </c>
      <c r="G11" t="s">
        <v>15</v>
      </c>
      <c r="H11" t="s">
        <v>23</v>
      </c>
    </row>
    <row r="12" spans="1:9" x14ac:dyDescent="0.2">
      <c r="A12" t="s">
        <v>16</v>
      </c>
      <c r="B12" s="1">
        <v>0.32369920000000002</v>
      </c>
      <c r="C12" t="s">
        <v>17</v>
      </c>
      <c r="D12" t="s">
        <v>6</v>
      </c>
      <c r="E12" t="s">
        <v>18</v>
      </c>
      <c r="G12" t="s">
        <v>19</v>
      </c>
      <c r="H12" t="s">
        <v>20</v>
      </c>
    </row>
    <row r="13" spans="1:9" x14ac:dyDescent="0.2">
      <c r="A13" t="s">
        <v>98</v>
      </c>
      <c r="B13" s="1">
        <v>1.1399999999999999</v>
      </c>
      <c r="C13" t="s">
        <v>99</v>
      </c>
      <c r="D13" t="s">
        <v>6</v>
      </c>
      <c r="E13" t="s">
        <v>104</v>
      </c>
      <c r="G13" t="s">
        <v>19</v>
      </c>
      <c r="H13" t="s">
        <v>20</v>
      </c>
    </row>
    <row r="14" spans="1:9" x14ac:dyDescent="0.2">
      <c r="A14" t="s">
        <v>196</v>
      </c>
      <c r="B14" s="1">
        <v>10.0608</v>
      </c>
      <c r="C14" t="s">
        <v>197</v>
      </c>
      <c r="D14" t="s">
        <v>6</v>
      </c>
      <c r="E14" t="s">
        <v>104</v>
      </c>
      <c r="G14" t="s">
        <v>19</v>
      </c>
      <c r="H14" t="s">
        <v>23</v>
      </c>
    </row>
    <row r="15" spans="1:9" x14ac:dyDescent="0.2">
      <c r="A15" t="s">
        <v>63</v>
      </c>
      <c r="B15">
        <v>0.84</v>
      </c>
      <c r="C15" t="s">
        <v>64</v>
      </c>
      <c r="D15" t="s">
        <v>6</v>
      </c>
      <c r="E15" t="s">
        <v>8</v>
      </c>
      <c r="G15" t="s">
        <v>19</v>
      </c>
      <c r="H15" t="s">
        <v>20</v>
      </c>
    </row>
    <row r="16" spans="1:9" x14ac:dyDescent="0.2">
      <c r="A16" t="s">
        <v>68</v>
      </c>
      <c r="B16">
        <v>0.74</v>
      </c>
      <c r="C16" t="s">
        <v>65</v>
      </c>
      <c r="D16" t="s">
        <v>6</v>
      </c>
      <c r="E16" t="s">
        <v>8</v>
      </c>
      <c r="G16" t="s">
        <v>19</v>
      </c>
      <c r="H16" t="s">
        <v>20</v>
      </c>
    </row>
    <row r="17" spans="1:8" x14ac:dyDescent="0.2">
      <c r="A17" t="s">
        <v>69</v>
      </c>
      <c r="B17">
        <v>8.7999999999999995E-2</v>
      </c>
      <c r="C17" t="s">
        <v>70</v>
      </c>
      <c r="D17" t="s">
        <v>21</v>
      </c>
      <c r="E17" t="s">
        <v>8</v>
      </c>
      <c r="G17" t="s">
        <v>19</v>
      </c>
      <c r="H17" t="s">
        <v>20</v>
      </c>
    </row>
    <row r="18" spans="1:8" x14ac:dyDescent="0.2">
      <c r="A18" t="s">
        <v>71</v>
      </c>
      <c r="B18">
        <v>0.4</v>
      </c>
      <c r="C18" t="s">
        <v>66</v>
      </c>
      <c r="D18" t="s">
        <v>21</v>
      </c>
      <c r="E18" t="s">
        <v>8</v>
      </c>
      <c r="G18" t="s">
        <v>19</v>
      </c>
      <c r="H18" t="s">
        <v>20</v>
      </c>
    </row>
    <row r="19" spans="1:8" x14ac:dyDescent="0.2">
      <c r="A19" t="s">
        <v>72</v>
      </c>
      <c r="B19">
        <v>0.252</v>
      </c>
      <c r="C19" t="s">
        <v>73</v>
      </c>
      <c r="D19" t="s">
        <v>6</v>
      </c>
      <c r="E19" t="s">
        <v>8</v>
      </c>
      <c r="G19" t="s">
        <v>19</v>
      </c>
      <c r="H19" t="s">
        <v>20</v>
      </c>
    </row>
    <row r="20" spans="1:8" x14ac:dyDescent="0.2">
      <c r="A20" t="s">
        <v>53</v>
      </c>
      <c r="B20">
        <v>0.22</v>
      </c>
      <c r="C20" t="s">
        <v>54</v>
      </c>
      <c r="D20" t="s">
        <v>21</v>
      </c>
      <c r="E20" t="s">
        <v>8</v>
      </c>
      <c r="G20" t="s">
        <v>19</v>
      </c>
      <c r="H20" t="s">
        <v>20</v>
      </c>
    </row>
    <row r="21" spans="1:8" x14ac:dyDescent="0.2">
      <c r="A21" t="s">
        <v>34</v>
      </c>
      <c r="B21">
        <v>1.6</v>
      </c>
      <c r="C21" t="s">
        <v>35</v>
      </c>
      <c r="D21" t="s">
        <v>6</v>
      </c>
      <c r="E21" t="s">
        <v>8</v>
      </c>
      <c r="G21" t="s">
        <v>19</v>
      </c>
      <c r="H21" t="s">
        <v>20</v>
      </c>
    </row>
    <row r="22" spans="1:8" x14ac:dyDescent="0.2">
      <c r="A22" t="s">
        <v>36</v>
      </c>
      <c r="B22">
        <v>-1.4400000000000001E-3</v>
      </c>
      <c r="C22" t="s">
        <v>37</v>
      </c>
      <c r="D22" t="s">
        <v>21</v>
      </c>
      <c r="E22" t="s">
        <v>38</v>
      </c>
      <c r="G22" t="s">
        <v>19</v>
      </c>
      <c r="H22" t="s">
        <v>20</v>
      </c>
    </row>
    <row r="23" spans="1:8" x14ac:dyDescent="0.2">
      <c r="A23" t="s">
        <v>39</v>
      </c>
      <c r="B23">
        <v>1.6000000000000004E-4</v>
      </c>
      <c r="D23" t="s">
        <v>6</v>
      </c>
      <c r="E23" t="s">
        <v>38</v>
      </c>
      <c r="F23" t="s">
        <v>40</v>
      </c>
      <c r="G23" t="s">
        <v>41</v>
      </c>
      <c r="H23" t="s">
        <v>42</v>
      </c>
    </row>
    <row r="24" spans="1:8" x14ac:dyDescent="0.2">
      <c r="A24" t="s">
        <v>67</v>
      </c>
      <c r="B24">
        <v>0.08</v>
      </c>
      <c r="D24" t="s">
        <v>6</v>
      </c>
      <c r="E24" t="s">
        <v>8</v>
      </c>
      <c r="F24" t="s">
        <v>40</v>
      </c>
      <c r="G24" t="s">
        <v>41</v>
      </c>
      <c r="H24" t="s">
        <v>42</v>
      </c>
    </row>
    <row r="26" spans="1:8" x14ac:dyDescent="0.2">
      <c r="A26" t="s">
        <v>1</v>
      </c>
      <c r="B26" t="s">
        <v>74</v>
      </c>
    </row>
    <row r="27" spans="1:8" x14ac:dyDescent="0.2">
      <c r="A27" t="s">
        <v>2</v>
      </c>
      <c r="B27">
        <v>1</v>
      </c>
    </row>
    <row r="28" spans="1:8" x14ac:dyDescent="0.2">
      <c r="A28" t="s">
        <v>3</v>
      </c>
    </row>
    <row r="29" spans="1:8" x14ac:dyDescent="0.2">
      <c r="A29" t="s">
        <v>4</v>
      </c>
      <c r="B29" t="s">
        <v>75</v>
      </c>
    </row>
    <row r="30" spans="1:8" x14ac:dyDescent="0.2">
      <c r="A30" t="s">
        <v>5</v>
      </c>
      <c r="B30" t="s">
        <v>6</v>
      </c>
    </row>
    <row r="31" spans="1:8" x14ac:dyDescent="0.2">
      <c r="A31" t="s">
        <v>7</v>
      </c>
      <c r="B31" t="s">
        <v>8</v>
      </c>
    </row>
    <row r="32" spans="1:8" x14ac:dyDescent="0.2">
      <c r="A32" t="s">
        <v>9</v>
      </c>
    </row>
    <row r="33" spans="1:9" x14ac:dyDescent="0.2">
      <c r="A33" t="s">
        <v>10</v>
      </c>
      <c r="B33" t="s">
        <v>11</v>
      </c>
      <c r="C33" t="s">
        <v>4</v>
      </c>
      <c r="D33" t="s">
        <v>5</v>
      </c>
      <c r="E33" t="s">
        <v>7</v>
      </c>
      <c r="F33" t="s">
        <v>12</v>
      </c>
      <c r="G33" t="s">
        <v>13</v>
      </c>
      <c r="H33" t="s">
        <v>14</v>
      </c>
      <c r="I33" t="s">
        <v>3</v>
      </c>
    </row>
    <row r="34" spans="1:9" x14ac:dyDescent="0.2">
      <c r="A34" t="s">
        <v>74</v>
      </c>
      <c r="B34">
        <v>1</v>
      </c>
      <c r="C34" t="s">
        <v>75</v>
      </c>
      <c r="D34" t="s">
        <v>6</v>
      </c>
      <c r="E34" t="s">
        <v>8</v>
      </c>
      <c r="G34" t="s">
        <v>15</v>
      </c>
      <c r="H34" t="s">
        <v>23</v>
      </c>
    </row>
    <row r="35" spans="1:9" x14ac:dyDescent="0.2">
      <c r="A35" t="s">
        <v>16</v>
      </c>
      <c r="B35" s="1">
        <v>0.41596</v>
      </c>
      <c r="C35" t="s">
        <v>17</v>
      </c>
      <c r="D35" t="s">
        <v>6</v>
      </c>
      <c r="E35" t="s">
        <v>18</v>
      </c>
      <c r="G35" t="s">
        <v>19</v>
      </c>
      <c r="H35" t="s">
        <v>20</v>
      </c>
    </row>
    <row r="36" spans="1:9" x14ac:dyDescent="0.2">
      <c r="A36" t="s">
        <v>98</v>
      </c>
      <c r="B36" s="1">
        <v>3.29</v>
      </c>
      <c r="C36" t="s">
        <v>99</v>
      </c>
      <c r="D36" t="s">
        <v>6</v>
      </c>
      <c r="E36" t="s">
        <v>104</v>
      </c>
      <c r="G36" t="s">
        <v>19</v>
      </c>
      <c r="H36" t="s">
        <v>20</v>
      </c>
    </row>
    <row r="37" spans="1:9" x14ac:dyDescent="0.2">
      <c r="A37" t="s">
        <v>196</v>
      </c>
      <c r="B37" s="1">
        <v>15.72</v>
      </c>
      <c r="C37" t="s">
        <v>197</v>
      </c>
      <c r="D37" t="s">
        <v>6</v>
      </c>
      <c r="E37" t="s">
        <v>104</v>
      </c>
      <c r="G37" t="s">
        <v>19</v>
      </c>
      <c r="H37" t="s">
        <v>23</v>
      </c>
    </row>
    <row r="38" spans="1:9" x14ac:dyDescent="0.2">
      <c r="A38" t="s">
        <v>63</v>
      </c>
      <c r="B38">
        <v>0.52500000000000002</v>
      </c>
      <c r="C38" t="s">
        <v>64</v>
      </c>
      <c r="D38" t="s">
        <v>6</v>
      </c>
      <c r="E38" t="s">
        <v>8</v>
      </c>
      <c r="G38" t="s">
        <v>19</v>
      </c>
      <c r="H38" t="s">
        <v>20</v>
      </c>
    </row>
    <row r="39" spans="1:9" x14ac:dyDescent="0.2">
      <c r="A39" t="s">
        <v>69</v>
      </c>
      <c r="B39">
        <v>0.25</v>
      </c>
      <c r="C39" t="s">
        <v>70</v>
      </c>
      <c r="D39" t="s">
        <v>21</v>
      </c>
      <c r="E39" t="s">
        <v>8</v>
      </c>
      <c r="G39" t="s">
        <v>19</v>
      </c>
      <c r="H39" t="s">
        <v>20</v>
      </c>
    </row>
    <row r="40" spans="1:9" x14ac:dyDescent="0.2">
      <c r="A40" t="s">
        <v>81</v>
      </c>
      <c r="B40">
        <v>5.7000000000000002E-2</v>
      </c>
      <c r="C40" t="s">
        <v>78</v>
      </c>
      <c r="D40" t="s">
        <v>6</v>
      </c>
      <c r="E40" t="s">
        <v>8</v>
      </c>
      <c r="G40" t="s">
        <v>19</v>
      </c>
      <c r="H40" t="s">
        <v>20</v>
      </c>
    </row>
    <row r="41" spans="1:9" x14ac:dyDescent="0.2">
      <c r="A41" t="s">
        <v>82</v>
      </c>
      <c r="B41">
        <v>1.7500000000000002E-2</v>
      </c>
      <c r="C41" t="s">
        <v>79</v>
      </c>
      <c r="D41" t="s">
        <v>21</v>
      </c>
      <c r="E41" t="s">
        <v>8</v>
      </c>
      <c r="G41" t="s">
        <v>19</v>
      </c>
      <c r="H41" t="s">
        <v>20</v>
      </c>
    </row>
    <row r="42" spans="1:9" x14ac:dyDescent="0.2">
      <c r="A42" t="s">
        <v>83</v>
      </c>
      <c r="B42">
        <v>3</v>
      </c>
      <c r="C42" t="s">
        <v>80</v>
      </c>
      <c r="D42" t="s">
        <v>21</v>
      </c>
      <c r="E42" t="s">
        <v>8</v>
      </c>
      <c r="G42" t="s">
        <v>19</v>
      </c>
      <c r="H42" t="s">
        <v>20</v>
      </c>
    </row>
    <row r="43" spans="1:9" x14ac:dyDescent="0.2">
      <c r="A43" t="s">
        <v>34</v>
      </c>
      <c r="B43">
        <v>11</v>
      </c>
      <c r="C43" t="s">
        <v>35</v>
      </c>
      <c r="D43" t="s">
        <v>6</v>
      </c>
      <c r="E43" t="s">
        <v>8</v>
      </c>
      <c r="G43" t="s">
        <v>19</v>
      </c>
      <c r="H43" t="s">
        <v>20</v>
      </c>
    </row>
    <row r="44" spans="1:9" x14ac:dyDescent="0.2">
      <c r="A44" t="s">
        <v>36</v>
      </c>
      <c r="B44" s="2">
        <v>-9.9000000000000008E-3</v>
      </c>
      <c r="C44" t="s">
        <v>37</v>
      </c>
      <c r="D44" t="s">
        <v>21</v>
      </c>
      <c r="E44" t="s">
        <v>38</v>
      </c>
      <c r="G44" t="s">
        <v>19</v>
      </c>
      <c r="H44" t="s">
        <v>20</v>
      </c>
    </row>
    <row r="45" spans="1:9" x14ac:dyDescent="0.2">
      <c r="A45" t="s">
        <v>39</v>
      </c>
      <c r="B45" s="2">
        <v>1.1000000000000001E-3</v>
      </c>
      <c r="D45" t="s">
        <v>6</v>
      </c>
      <c r="E45" t="s">
        <v>38</v>
      </c>
      <c r="F45" t="s">
        <v>40</v>
      </c>
      <c r="G45" t="s">
        <v>41</v>
      </c>
      <c r="H45" t="s">
        <v>42</v>
      </c>
    </row>
    <row r="47" spans="1:9" x14ac:dyDescent="0.2">
      <c r="A47" t="s">
        <v>1</v>
      </c>
      <c r="B47" t="s">
        <v>90</v>
      </c>
    </row>
    <row r="48" spans="1:9" x14ac:dyDescent="0.2">
      <c r="A48" t="s">
        <v>2</v>
      </c>
      <c r="B48">
        <v>1</v>
      </c>
    </row>
    <row r="49" spans="1:9" x14ac:dyDescent="0.2">
      <c r="A49" t="s">
        <v>3</v>
      </c>
    </row>
    <row r="50" spans="1:9" x14ac:dyDescent="0.2">
      <c r="A50" t="s">
        <v>4</v>
      </c>
      <c r="B50" t="s">
        <v>91</v>
      </c>
    </row>
    <row r="51" spans="1:9" x14ac:dyDescent="0.2">
      <c r="A51" t="s">
        <v>5</v>
      </c>
      <c r="B51" t="s">
        <v>6</v>
      </c>
    </row>
    <row r="52" spans="1:9" x14ac:dyDescent="0.2">
      <c r="A52" t="s">
        <v>7</v>
      </c>
      <c r="B52" t="s">
        <v>8</v>
      </c>
    </row>
    <row r="53" spans="1:9" x14ac:dyDescent="0.2">
      <c r="A53" t="s">
        <v>9</v>
      </c>
    </row>
    <row r="54" spans="1:9" x14ac:dyDescent="0.2">
      <c r="A54" t="s">
        <v>10</v>
      </c>
      <c r="B54" t="s">
        <v>11</v>
      </c>
      <c r="C54" t="s">
        <v>4</v>
      </c>
      <c r="D54" t="s">
        <v>5</v>
      </c>
      <c r="E54" t="s">
        <v>7</v>
      </c>
      <c r="F54" t="s">
        <v>12</v>
      </c>
      <c r="G54" t="s">
        <v>13</v>
      </c>
      <c r="H54" t="s">
        <v>14</v>
      </c>
      <c r="I54" t="s">
        <v>3</v>
      </c>
    </row>
    <row r="55" spans="1:9" x14ac:dyDescent="0.2">
      <c r="A55" t="s">
        <v>90</v>
      </c>
      <c r="B55">
        <v>1</v>
      </c>
      <c r="C55" t="s">
        <v>91</v>
      </c>
      <c r="D55" t="s">
        <v>6</v>
      </c>
      <c r="E55" t="s">
        <v>8</v>
      </c>
      <c r="G55" t="s">
        <v>15</v>
      </c>
      <c r="H55" t="s">
        <v>23</v>
      </c>
    </row>
    <row r="56" spans="1:9" x14ac:dyDescent="0.2">
      <c r="A56" t="s">
        <v>16</v>
      </c>
      <c r="B56" s="1">
        <v>0.66681650000000003</v>
      </c>
      <c r="C56" t="s">
        <v>17</v>
      </c>
      <c r="D56" t="s">
        <v>6</v>
      </c>
      <c r="E56" t="s">
        <v>18</v>
      </c>
      <c r="G56" t="s">
        <v>19</v>
      </c>
      <c r="H56" t="s">
        <v>20</v>
      </c>
    </row>
    <row r="57" spans="1:9" x14ac:dyDescent="0.2">
      <c r="A57" t="s">
        <v>196</v>
      </c>
      <c r="B57" s="1">
        <v>21.4054</v>
      </c>
      <c r="C57" t="s">
        <v>197</v>
      </c>
      <c r="D57" t="s">
        <v>6</v>
      </c>
      <c r="E57" t="s">
        <v>104</v>
      </c>
      <c r="G57" t="s">
        <v>19</v>
      </c>
      <c r="H57" t="s">
        <v>23</v>
      </c>
    </row>
    <row r="58" spans="1:9" x14ac:dyDescent="0.2">
      <c r="A58" t="s">
        <v>87</v>
      </c>
      <c r="B58">
        <v>0.1</v>
      </c>
      <c r="C58" t="s">
        <v>84</v>
      </c>
      <c r="D58" t="s">
        <v>6</v>
      </c>
      <c r="E58" t="s">
        <v>8</v>
      </c>
      <c r="G58" t="s">
        <v>19</v>
      </c>
      <c r="H58" t="s">
        <v>20</v>
      </c>
    </row>
    <row r="59" spans="1:9" x14ac:dyDescent="0.2">
      <c r="A59" t="s">
        <v>69</v>
      </c>
      <c r="B59">
        <v>0.5</v>
      </c>
      <c r="C59" t="s">
        <v>70</v>
      </c>
      <c r="D59" t="s">
        <v>21</v>
      </c>
      <c r="E59" t="s">
        <v>8</v>
      </c>
      <c r="G59" t="s">
        <v>19</v>
      </c>
      <c r="H59" t="s">
        <v>20</v>
      </c>
    </row>
    <row r="60" spans="1:9" x14ac:dyDescent="0.2">
      <c r="A60" t="s">
        <v>88</v>
      </c>
      <c r="B60">
        <v>0.4</v>
      </c>
      <c r="C60" t="s">
        <v>85</v>
      </c>
      <c r="D60" t="s">
        <v>21</v>
      </c>
      <c r="E60" t="s">
        <v>8</v>
      </c>
      <c r="G60" t="s">
        <v>19</v>
      </c>
      <c r="H60" t="s">
        <v>20</v>
      </c>
    </row>
    <row r="61" spans="1:9" x14ac:dyDescent="0.2">
      <c r="A61" t="s">
        <v>82</v>
      </c>
      <c r="B61">
        <v>7.0000000000000007E-2</v>
      </c>
      <c r="C61" t="s">
        <v>79</v>
      </c>
      <c r="D61" t="s">
        <v>21</v>
      </c>
      <c r="E61" t="s">
        <v>8</v>
      </c>
      <c r="G61" t="s">
        <v>19</v>
      </c>
      <c r="H61" t="s">
        <v>20</v>
      </c>
    </row>
    <row r="62" spans="1:9" x14ac:dyDescent="0.2">
      <c r="A62" t="s">
        <v>89</v>
      </c>
      <c r="B62">
        <v>0.32500000000000001</v>
      </c>
      <c r="C62" t="s">
        <v>86</v>
      </c>
      <c r="D62" t="s">
        <v>6</v>
      </c>
      <c r="E62" t="s">
        <v>8</v>
      </c>
      <c r="G62" t="s">
        <v>19</v>
      </c>
      <c r="H62" t="s">
        <v>20</v>
      </c>
    </row>
    <row r="63" spans="1:9" x14ac:dyDescent="0.2">
      <c r="A63" t="s">
        <v>81</v>
      </c>
      <c r="B63">
        <v>0.09</v>
      </c>
      <c r="C63" t="s">
        <v>78</v>
      </c>
      <c r="D63" t="s">
        <v>6</v>
      </c>
      <c r="E63" t="s">
        <v>8</v>
      </c>
      <c r="G63" t="s">
        <v>19</v>
      </c>
      <c r="H63" t="s">
        <v>20</v>
      </c>
    </row>
    <row r="64" spans="1:9" x14ac:dyDescent="0.2">
      <c r="A64" t="s">
        <v>34</v>
      </c>
      <c r="B64">
        <v>4.085</v>
      </c>
      <c r="C64" t="s">
        <v>35</v>
      </c>
      <c r="D64" t="s">
        <v>6</v>
      </c>
      <c r="E64" t="s">
        <v>8</v>
      </c>
      <c r="G64" t="s">
        <v>19</v>
      </c>
      <c r="H64" t="s">
        <v>20</v>
      </c>
    </row>
    <row r="65" spans="1:9" x14ac:dyDescent="0.2">
      <c r="A65" t="s">
        <v>36</v>
      </c>
      <c r="B65" s="2">
        <v>-3.6765000000000001E-3</v>
      </c>
      <c r="C65" t="s">
        <v>37</v>
      </c>
      <c r="D65" t="s">
        <v>21</v>
      </c>
      <c r="E65" t="s">
        <v>38</v>
      </c>
      <c r="G65" t="s">
        <v>19</v>
      </c>
      <c r="H65" t="s">
        <v>20</v>
      </c>
    </row>
    <row r="66" spans="1:9" x14ac:dyDescent="0.2">
      <c r="A66" t="s">
        <v>39</v>
      </c>
      <c r="B66" s="2">
        <v>4.0850000000000001E-4</v>
      </c>
      <c r="D66" t="s">
        <v>6</v>
      </c>
      <c r="E66" t="s">
        <v>38</v>
      </c>
      <c r="F66" t="s">
        <v>40</v>
      </c>
      <c r="G66" t="s">
        <v>41</v>
      </c>
      <c r="H66" t="s">
        <v>42</v>
      </c>
    </row>
    <row r="68" spans="1:9" x14ac:dyDescent="0.2">
      <c r="A68" t="s">
        <v>1</v>
      </c>
      <c r="B68" t="s">
        <v>92</v>
      </c>
    </row>
    <row r="69" spans="1:9" x14ac:dyDescent="0.2">
      <c r="A69" t="s">
        <v>2</v>
      </c>
      <c r="B69">
        <v>1</v>
      </c>
    </row>
    <row r="70" spans="1:9" x14ac:dyDescent="0.2">
      <c r="A70" t="s">
        <v>3</v>
      </c>
    </row>
    <row r="71" spans="1:9" x14ac:dyDescent="0.2">
      <c r="A71" t="s">
        <v>4</v>
      </c>
      <c r="B71" t="s">
        <v>93</v>
      </c>
    </row>
    <row r="72" spans="1:9" x14ac:dyDescent="0.2">
      <c r="A72" t="s">
        <v>5</v>
      </c>
      <c r="B72" t="s">
        <v>6</v>
      </c>
    </row>
    <row r="73" spans="1:9" x14ac:dyDescent="0.2">
      <c r="A73" t="s">
        <v>7</v>
      </c>
      <c r="B73" t="s">
        <v>8</v>
      </c>
    </row>
    <row r="74" spans="1:9" x14ac:dyDescent="0.2">
      <c r="A74" t="s">
        <v>9</v>
      </c>
    </row>
    <row r="75" spans="1:9" x14ac:dyDescent="0.2">
      <c r="A75" t="s">
        <v>10</v>
      </c>
      <c r="B75" t="s">
        <v>11</v>
      </c>
      <c r="C75" t="s">
        <v>4</v>
      </c>
      <c r="D75" t="s">
        <v>5</v>
      </c>
      <c r="E75" t="s">
        <v>7</v>
      </c>
      <c r="F75" t="s">
        <v>12</v>
      </c>
      <c r="G75" t="s">
        <v>13</v>
      </c>
      <c r="H75" t="s">
        <v>14</v>
      </c>
      <c r="I75" t="s">
        <v>3</v>
      </c>
    </row>
    <row r="76" spans="1:9" x14ac:dyDescent="0.2">
      <c r="A76" t="s">
        <v>92</v>
      </c>
      <c r="B76">
        <v>1</v>
      </c>
      <c r="C76" t="s">
        <v>93</v>
      </c>
      <c r="D76" t="s">
        <v>6</v>
      </c>
      <c r="E76" t="s">
        <v>8</v>
      </c>
      <c r="G76" t="s">
        <v>15</v>
      </c>
      <c r="H76" t="s">
        <v>23</v>
      </c>
    </row>
    <row r="77" spans="1:9" x14ac:dyDescent="0.2">
      <c r="A77" t="s">
        <v>16</v>
      </c>
      <c r="B77" s="1">
        <v>0.52149999999999996</v>
      </c>
      <c r="C77" t="s">
        <v>17</v>
      </c>
      <c r="D77" t="s">
        <v>6</v>
      </c>
      <c r="E77" t="s">
        <v>18</v>
      </c>
      <c r="G77" t="s">
        <v>19</v>
      </c>
      <c r="H77" t="s">
        <v>20</v>
      </c>
    </row>
    <row r="78" spans="1:9" x14ac:dyDescent="0.2">
      <c r="A78" t="s">
        <v>196</v>
      </c>
      <c r="B78" s="1">
        <v>12.62</v>
      </c>
      <c r="C78" t="s">
        <v>197</v>
      </c>
      <c r="D78" t="s">
        <v>6</v>
      </c>
      <c r="E78" t="s">
        <v>104</v>
      </c>
      <c r="G78" t="s">
        <v>19</v>
      </c>
      <c r="H78" t="s">
        <v>23</v>
      </c>
    </row>
    <row r="79" spans="1:9" x14ac:dyDescent="0.2">
      <c r="A79" t="s">
        <v>96</v>
      </c>
      <c r="B79">
        <v>0.82</v>
      </c>
      <c r="C79" t="s">
        <v>94</v>
      </c>
      <c r="D79" t="s">
        <v>6</v>
      </c>
      <c r="E79" t="s">
        <v>8</v>
      </c>
      <c r="G79" t="s">
        <v>19</v>
      </c>
      <c r="H79" t="s">
        <v>20</v>
      </c>
    </row>
    <row r="80" spans="1:9" x14ac:dyDescent="0.2">
      <c r="A80" t="s">
        <v>97</v>
      </c>
      <c r="B80">
        <v>0.08</v>
      </c>
      <c r="C80" t="s">
        <v>95</v>
      </c>
      <c r="D80" t="s">
        <v>21</v>
      </c>
      <c r="E80" t="s">
        <v>8</v>
      </c>
      <c r="G80" t="s">
        <v>19</v>
      </c>
      <c r="H80" t="s">
        <v>20</v>
      </c>
    </row>
    <row r="81" spans="1:9" x14ac:dyDescent="0.2">
      <c r="A81" t="s">
        <v>53</v>
      </c>
      <c r="B81">
        <v>0.1</v>
      </c>
      <c r="C81" t="s">
        <v>54</v>
      </c>
      <c r="D81" t="s">
        <v>21</v>
      </c>
      <c r="E81" t="s">
        <v>8</v>
      </c>
      <c r="G81" t="s">
        <v>19</v>
      </c>
      <c r="H81" t="s">
        <v>20</v>
      </c>
    </row>
    <row r="82" spans="1:9" x14ac:dyDescent="0.2">
      <c r="A82" t="s">
        <v>34</v>
      </c>
      <c r="B82">
        <v>0.5</v>
      </c>
      <c r="C82" t="s">
        <v>35</v>
      </c>
      <c r="D82" t="s">
        <v>6</v>
      </c>
      <c r="E82" t="s">
        <v>8</v>
      </c>
      <c r="G82" t="s">
        <v>19</v>
      </c>
      <c r="H82" t="s">
        <v>20</v>
      </c>
    </row>
    <row r="83" spans="1:9" x14ac:dyDescent="0.2">
      <c r="A83" t="s">
        <v>36</v>
      </c>
      <c r="B83" s="2">
        <f>-0.9*$B$82/1000</f>
        <v>-4.4999999999999999E-4</v>
      </c>
      <c r="C83" t="s">
        <v>37</v>
      </c>
      <c r="D83" t="s">
        <v>21</v>
      </c>
      <c r="E83" t="s">
        <v>38</v>
      </c>
      <c r="G83" t="s">
        <v>19</v>
      </c>
      <c r="H83" t="s">
        <v>20</v>
      </c>
    </row>
    <row r="84" spans="1:9" x14ac:dyDescent="0.2">
      <c r="A84" t="s">
        <v>39</v>
      </c>
      <c r="B84" s="2">
        <f>0.1*$B$82/1000</f>
        <v>5.0000000000000002E-5</v>
      </c>
      <c r="D84" t="s">
        <v>6</v>
      </c>
      <c r="E84" t="s">
        <v>38</v>
      </c>
      <c r="F84" t="s">
        <v>40</v>
      </c>
      <c r="G84" t="s">
        <v>41</v>
      </c>
      <c r="H84" t="s">
        <v>42</v>
      </c>
    </row>
    <row r="86" spans="1:9" x14ac:dyDescent="0.2">
      <c r="A86" t="s">
        <v>1</v>
      </c>
      <c r="B86" t="s">
        <v>100</v>
      </c>
    </row>
    <row r="87" spans="1:9" x14ac:dyDescent="0.2">
      <c r="A87" t="s">
        <v>2</v>
      </c>
      <c r="B87">
        <v>1</v>
      </c>
    </row>
    <row r="88" spans="1:9" x14ac:dyDescent="0.2">
      <c r="A88" t="s">
        <v>3</v>
      </c>
      <c r="B88" t="s">
        <v>101</v>
      </c>
    </row>
    <row r="89" spans="1:9" x14ac:dyDescent="0.2">
      <c r="A89" t="s">
        <v>4</v>
      </c>
      <c r="B89" t="s">
        <v>102</v>
      </c>
    </row>
    <row r="90" spans="1:9" x14ac:dyDescent="0.2">
      <c r="A90" t="s">
        <v>5</v>
      </c>
      <c r="B90" t="s">
        <v>6</v>
      </c>
    </row>
    <row r="91" spans="1:9" x14ac:dyDescent="0.2">
      <c r="A91" t="s">
        <v>7</v>
      </c>
      <c r="B91" t="s">
        <v>8</v>
      </c>
    </row>
    <row r="92" spans="1:9" x14ac:dyDescent="0.2">
      <c r="A92" t="s">
        <v>9</v>
      </c>
    </row>
    <row r="93" spans="1:9" x14ac:dyDescent="0.2">
      <c r="A93" t="s">
        <v>10</v>
      </c>
      <c r="B93" t="s">
        <v>11</v>
      </c>
      <c r="C93" t="s">
        <v>4</v>
      </c>
      <c r="D93" t="s">
        <v>5</v>
      </c>
      <c r="E93" t="s">
        <v>7</v>
      </c>
      <c r="F93" t="s">
        <v>12</v>
      </c>
      <c r="G93" t="s">
        <v>13</v>
      </c>
      <c r="H93" t="s">
        <v>14</v>
      </c>
      <c r="I93" t="s">
        <v>3</v>
      </c>
    </row>
    <row r="94" spans="1:9" x14ac:dyDescent="0.2">
      <c r="A94" t="s">
        <v>100</v>
      </c>
      <c r="B94">
        <v>1</v>
      </c>
      <c r="C94" t="s">
        <v>102</v>
      </c>
      <c r="D94" t="s">
        <v>6</v>
      </c>
      <c r="E94" t="s">
        <v>8</v>
      </c>
      <c r="G94" t="s">
        <v>15</v>
      </c>
      <c r="H94" t="s">
        <v>23</v>
      </c>
    </row>
    <row r="95" spans="1:9" x14ac:dyDescent="0.2">
      <c r="A95" t="s">
        <v>16</v>
      </c>
      <c r="B95">
        <v>2.2000000000000002</v>
      </c>
      <c r="C95" t="s">
        <v>17</v>
      </c>
      <c r="D95" t="s">
        <v>6</v>
      </c>
      <c r="E95" t="s">
        <v>103</v>
      </c>
      <c r="G95" t="s">
        <v>19</v>
      </c>
      <c r="H95" t="s">
        <v>20</v>
      </c>
    </row>
    <row r="96" spans="1:9" x14ac:dyDescent="0.2">
      <c r="A96" t="s">
        <v>196</v>
      </c>
      <c r="B96">
        <v>14.2</v>
      </c>
      <c r="C96" t="s">
        <v>197</v>
      </c>
      <c r="D96" t="s">
        <v>6</v>
      </c>
      <c r="E96" t="s">
        <v>104</v>
      </c>
      <c r="G96" t="s">
        <v>19</v>
      </c>
      <c r="H96" t="s">
        <v>23</v>
      </c>
    </row>
    <row r="97" spans="1:8" x14ac:dyDescent="0.2">
      <c r="A97" t="s">
        <v>77</v>
      </c>
      <c r="B97">
        <v>3.7999999999999999E-2</v>
      </c>
      <c r="C97" t="s">
        <v>76</v>
      </c>
      <c r="D97" t="s">
        <v>6</v>
      </c>
      <c r="E97" t="s">
        <v>105</v>
      </c>
      <c r="G97" t="s">
        <v>19</v>
      </c>
      <c r="H97" t="s">
        <v>23</v>
      </c>
    </row>
    <row r="98" spans="1:8" x14ac:dyDescent="0.2">
      <c r="A98" t="s">
        <v>24</v>
      </c>
      <c r="B98">
        <v>8.0000000000000002E-3</v>
      </c>
      <c r="C98" t="s">
        <v>25</v>
      </c>
      <c r="D98" t="s">
        <v>6</v>
      </c>
      <c r="E98" t="s">
        <v>105</v>
      </c>
      <c r="G98" t="s">
        <v>19</v>
      </c>
      <c r="H98" t="s">
        <v>20</v>
      </c>
    </row>
    <row r="99" spans="1:8" x14ac:dyDescent="0.2">
      <c r="A99" t="s">
        <v>26</v>
      </c>
      <c r="B99">
        <v>2E-3</v>
      </c>
      <c r="C99" t="s">
        <v>27</v>
      </c>
      <c r="D99" t="s">
        <v>6</v>
      </c>
      <c r="E99" t="s">
        <v>105</v>
      </c>
      <c r="G99" t="s">
        <v>19</v>
      </c>
      <c r="H99" t="s">
        <v>20</v>
      </c>
    </row>
    <row r="100" spans="1:8" x14ac:dyDescent="0.2">
      <c r="A100" t="s">
        <v>28</v>
      </c>
      <c r="B100">
        <v>1E-3</v>
      </c>
      <c r="C100" t="s">
        <v>29</v>
      </c>
      <c r="D100" t="s">
        <v>21</v>
      </c>
      <c r="E100" t="s">
        <v>105</v>
      </c>
      <c r="G100" t="s">
        <v>19</v>
      </c>
      <c r="H100" t="s">
        <v>20</v>
      </c>
    </row>
    <row r="101" spans="1:8" x14ac:dyDescent="0.2">
      <c r="A101" t="s">
        <v>24</v>
      </c>
      <c r="B101">
        <v>3.0000000000000001E-3</v>
      </c>
      <c r="C101" t="s">
        <v>25</v>
      </c>
      <c r="D101" t="s">
        <v>6</v>
      </c>
      <c r="E101" t="s">
        <v>105</v>
      </c>
      <c r="G101" t="s">
        <v>19</v>
      </c>
      <c r="H101" t="s">
        <v>20</v>
      </c>
    </row>
    <row r="102" spans="1:8" x14ac:dyDescent="0.2">
      <c r="A102" t="s">
        <v>30</v>
      </c>
      <c r="B102">
        <v>3.0000000000000001E-3</v>
      </c>
      <c r="C102" t="s">
        <v>31</v>
      </c>
      <c r="D102" t="s">
        <v>6</v>
      </c>
      <c r="E102" t="s">
        <v>105</v>
      </c>
      <c r="G102" t="s">
        <v>19</v>
      </c>
      <c r="H102" t="s">
        <v>20</v>
      </c>
    </row>
    <row r="103" spans="1:8" x14ac:dyDescent="0.2">
      <c r="A103" t="s">
        <v>32</v>
      </c>
      <c r="B103">
        <v>0.03</v>
      </c>
      <c r="C103" t="s">
        <v>33</v>
      </c>
      <c r="D103" t="s">
        <v>6</v>
      </c>
      <c r="E103" t="s">
        <v>105</v>
      </c>
      <c r="G103" t="s">
        <v>19</v>
      </c>
      <c r="H103" t="s">
        <v>20</v>
      </c>
    </row>
    <row r="104" spans="1:8" x14ac:dyDescent="0.2">
      <c r="A104" t="s">
        <v>34</v>
      </c>
      <c r="B104">
        <v>33</v>
      </c>
      <c r="C104" t="s">
        <v>35</v>
      </c>
      <c r="D104" t="s">
        <v>6</v>
      </c>
      <c r="E104" t="s">
        <v>105</v>
      </c>
      <c r="G104" t="s">
        <v>19</v>
      </c>
      <c r="H104" t="s">
        <v>20</v>
      </c>
    </row>
    <row r="105" spans="1:8" x14ac:dyDescent="0.2">
      <c r="A105" t="s">
        <v>36</v>
      </c>
      <c r="B105">
        <v>-2.9700000000000001E-2</v>
      </c>
      <c r="C105" t="s">
        <v>37</v>
      </c>
      <c r="D105" t="s">
        <v>21</v>
      </c>
      <c r="E105" t="s">
        <v>106</v>
      </c>
      <c r="G105" t="s">
        <v>19</v>
      </c>
      <c r="H105" t="s">
        <v>20</v>
      </c>
    </row>
    <row r="106" spans="1:8" x14ac:dyDescent="0.2">
      <c r="A106" t="s">
        <v>39</v>
      </c>
      <c r="B106">
        <v>3.3E-3</v>
      </c>
      <c r="D106" t="s">
        <v>6</v>
      </c>
      <c r="E106" t="s">
        <v>106</v>
      </c>
      <c r="F106" t="s">
        <v>40</v>
      </c>
      <c r="G106" t="s">
        <v>41</v>
      </c>
      <c r="H106" t="s">
        <v>42</v>
      </c>
    </row>
    <row r="108" spans="1:8" x14ac:dyDescent="0.2">
      <c r="A108" t="s">
        <v>1</v>
      </c>
      <c r="B108" t="s">
        <v>107</v>
      </c>
    </row>
    <row r="109" spans="1:8" x14ac:dyDescent="0.2">
      <c r="A109" t="s">
        <v>2</v>
      </c>
      <c r="B109">
        <v>1</v>
      </c>
    </row>
    <row r="110" spans="1:8" x14ac:dyDescent="0.2">
      <c r="A110" t="s">
        <v>3</v>
      </c>
      <c r="B110" t="s">
        <v>101</v>
      </c>
    </row>
    <row r="111" spans="1:8" x14ac:dyDescent="0.2">
      <c r="A111" t="s">
        <v>4</v>
      </c>
      <c r="B111" t="s">
        <v>108</v>
      </c>
    </row>
    <row r="112" spans="1:8" x14ac:dyDescent="0.2">
      <c r="A112" t="s">
        <v>5</v>
      </c>
      <c r="B112" t="s">
        <v>6</v>
      </c>
    </row>
    <row r="113" spans="1:9" x14ac:dyDescent="0.2">
      <c r="A113" t="s">
        <v>7</v>
      </c>
      <c r="B113" t="s">
        <v>8</v>
      </c>
    </row>
    <row r="114" spans="1:9" x14ac:dyDescent="0.2">
      <c r="A114" t="s">
        <v>9</v>
      </c>
    </row>
    <row r="115" spans="1:9" x14ac:dyDescent="0.2">
      <c r="A115" t="s">
        <v>10</v>
      </c>
      <c r="B115" t="s">
        <v>11</v>
      </c>
      <c r="C115" t="s">
        <v>4</v>
      </c>
      <c r="D115" t="s">
        <v>5</v>
      </c>
      <c r="E115" t="s">
        <v>7</v>
      </c>
      <c r="F115" t="s">
        <v>12</v>
      </c>
      <c r="G115" t="s">
        <v>13</v>
      </c>
      <c r="H115" t="s">
        <v>14</v>
      </c>
      <c r="I115" t="s">
        <v>3</v>
      </c>
    </row>
    <row r="116" spans="1:9" x14ac:dyDescent="0.2">
      <c r="A116" t="s">
        <v>107</v>
      </c>
      <c r="B116">
        <v>1</v>
      </c>
      <c r="C116" t="s">
        <v>108</v>
      </c>
      <c r="D116" t="s">
        <v>6</v>
      </c>
      <c r="E116" t="s">
        <v>8</v>
      </c>
      <c r="G116" t="s">
        <v>15</v>
      </c>
      <c r="H116" t="s">
        <v>23</v>
      </c>
    </row>
    <row r="117" spans="1:9" x14ac:dyDescent="0.2">
      <c r="A117" t="s">
        <v>16</v>
      </c>
      <c r="B117">
        <v>1.3</v>
      </c>
      <c r="C117" t="s">
        <v>17</v>
      </c>
      <c r="D117" t="s">
        <v>6</v>
      </c>
      <c r="E117" t="s">
        <v>103</v>
      </c>
      <c r="G117" t="s">
        <v>19</v>
      </c>
      <c r="H117" t="s">
        <v>20</v>
      </c>
    </row>
    <row r="118" spans="1:9" x14ac:dyDescent="0.2">
      <c r="A118" t="s">
        <v>196</v>
      </c>
      <c r="B118">
        <v>8.1999999999999993</v>
      </c>
      <c r="C118" t="s">
        <v>197</v>
      </c>
      <c r="D118" t="s">
        <v>6</v>
      </c>
      <c r="E118" t="s">
        <v>104</v>
      </c>
      <c r="G118" t="s">
        <v>19</v>
      </c>
      <c r="H118" t="s">
        <v>23</v>
      </c>
    </row>
    <row r="119" spans="1:9" x14ac:dyDescent="0.2">
      <c r="A119" t="s">
        <v>77</v>
      </c>
      <c r="B119">
        <v>0.03</v>
      </c>
      <c r="C119" t="s">
        <v>76</v>
      </c>
      <c r="D119" t="s">
        <v>6</v>
      </c>
      <c r="E119" t="s">
        <v>105</v>
      </c>
      <c r="G119" t="s">
        <v>19</v>
      </c>
      <c r="H119" t="s">
        <v>23</v>
      </c>
    </row>
    <row r="120" spans="1:9" x14ac:dyDescent="0.2">
      <c r="A120" t="s">
        <v>24</v>
      </c>
      <c r="B120">
        <v>6.0000000000000001E-3</v>
      </c>
      <c r="C120" t="s">
        <v>25</v>
      </c>
      <c r="D120" t="s">
        <v>6</v>
      </c>
      <c r="E120" t="s">
        <v>105</v>
      </c>
      <c r="G120" t="s">
        <v>19</v>
      </c>
      <c r="H120" t="s">
        <v>20</v>
      </c>
    </row>
    <row r="121" spans="1:9" x14ac:dyDescent="0.2">
      <c r="A121" t="s">
        <v>26</v>
      </c>
      <c r="B121">
        <v>1E-3</v>
      </c>
      <c r="C121" t="s">
        <v>27</v>
      </c>
      <c r="D121" t="s">
        <v>6</v>
      </c>
      <c r="E121" t="s">
        <v>105</v>
      </c>
      <c r="G121" t="s">
        <v>19</v>
      </c>
      <c r="H121" t="s">
        <v>20</v>
      </c>
    </row>
    <row r="122" spans="1:9" x14ac:dyDescent="0.2">
      <c r="A122" t="s">
        <v>28</v>
      </c>
      <c r="B122">
        <v>1E-3</v>
      </c>
      <c r="C122" t="s">
        <v>29</v>
      </c>
      <c r="D122" t="s">
        <v>21</v>
      </c>
      <c r="E122" t="s">
        <v>105</v>
      </c>
      <c r="G122" t="s">
        <v>19</v>
      </c>
      <c r="H122" t="s">
        <v>20</v>
      </c>
    </row>
    <row r="123" spans="1:9" x14ac:dyDescent="0.2">
      <c r="A123" t="s">
        <v>24</v>
      </c>
      <c r="B123">
        <v>3.0000000000000001E-3</v>
      </c>
      <c r="C123" t="s">
        <v>25</v>
      </c>
      <c r="D123" t="s">
        <v>6</v>
      </c>
      <c r="E123" t="s">
        <v>105</v>
      </c>
      <c r="G123" t="s">
        <v>19</v>
      </c>
      <c r="H123" t="s">
        <v>20</v>
      </c>
    </row>
    <row r="124" spans="1:9" x14ac:dyDescent="0.2">
      <c r="A124" t="s">
        <v>30</v>
      </c>
      <c r="B124">
        <v>2E-3</v>
      </c>
      <c r="C124" t="s">
        <v>31</v>
      </c>
      <c r="D124" t="s">
        <v>6</v>
      </c>
      <c r="E124" t="s">
        <v>105</v>
      </c>
      <c r="G124" t="s">
        <v>19</v>
      </c>
      <c r="H124" t="s">
        <v>20</v>
      </c>
    </row>
    <row r="125" spans="1:9" x14ac:dyDescent="0.2">
      <c r="A125" t="s">
        <v>32</v>
      </c>
      <c r="B125">
        <v>0.03</v>
      </c>
      <c r="C125" t="s">
        <v>33</v>
      </c>
      <c r="D125" t="s">
        <v>6</v>
      </c>
      <c r="E125" t="s">
        <v>105</v>
      </c>
      <c r="G125" t="s">
        <v>19</v>
      </c>
      <c r="H125" t="s">
        <v>20</v>
      </c>
    </row>
    <row r="126" spans="1:9" x14ac:dyDescent="0.2">
      <c r="A126" t="s">
        <v>34</v>
      </c>
      <c r="B126">
        <v>27</v>
      </c>
      <c r="C126" t="s">
        <v>35</v>
      </c>
      <c r="D126" t="s">
        <v>6</v>
      </c>
      <c r="E126" t="s">
        <v>105</v>
      </c>
      <c r="G126" t="s">
        <v>19</v>
      </c>
      <c r="H126" t="s">
        <v>20</v>
      </c>
    </row>
    <row r="127" spans="1:9" x14ac:dyDescent="0.2">
      <c r="A127" t="s">
        <v>36</v>
      </c>
      <c r="B127">
        <v>-2.4299999999999999E-2</v>
      </c>
      <c r="C127" t="s">
        <v>37</v>
      </c>
      <c r="D127" t="s">
        <v>21</v>
      </c>
      <c r="E127" t="s">
        <v>106</v>
      </c>
      <c r="G127" t="s">
        <v>19</v>
      </c>
      <c r="H127" t="s">
        <v>20</v>
      </c>
    </row>
    <row r="128" spans="1:9" x14ac:dyDescent="0.2">
      <c r="A128" t="s">
        <v>39</v>
      </c>
      <c r="B128">
        <v>2.7000000000000001E-3</v>
      </c>
      <c r="D128" t="s">
        <v>6</v>
      </c>
      <c r="E128" t="s">
        <v>106</v>
      </c>
      <c r="F128" t="s">
        <v>40</v>
      </c>
      <c r="G128" t="s">
        <v>41</v>
      </c>
      <c r="H128" t="s">
        <v>42</v>
      </c>
    </row>
    <row r="130" spans="1:9" x14ac:dyDescent="0.2">
      <c r="A130" t="s">
        <v>1</v>
      </c>
      <c r="B130" t="s">
        <v>109</v>
      </c>
    </row>
    <row r="131" spans="1:9" x14ac:dyDescent="0.2">
      <c r="A131" t="s">
        <v>2</v>
      </c>
      <c r="B131">
        <v>1</v>
      </c>
    </row>
    <row r="132" spans="1:9" x14ac:dyDescent="0.2">
      <c r="A132" t="s">
        <v>3</v>
      </c>
      <c r="B132" t="s">
        <v>101</v>
      </c>
    </row>
    <row r="133" spans="1:9" x14ac:dyDescent="0.2">
      <c r="A133" t="s">
        <v>4</v>
      </c>
      <c r="B133" t="s">
        <v>110</v>
      </c>
    </row>
    <row r="134" spans="1:9" x14ac:dyDescent="0.2">
      <c r="A134" t="s">
        <v>5</v>
      </c>
      <c r="B134" t="s">
        <v>6</v>
      </c>
    </row>
    <row r="135" spans="1:9" x14ac:dyDescent="0.2">
      <c r="A135" t="s">
        <v>7</v>
      </c>
      <c r="B135" t="s">
        <v>8</v>
      </c>
    </row>
    <row r="136" spans="1:9" x14ac:dyDescent="0.2">
      <c r="A136" t="s">
        <v>9</v>
      </c>
    </row>
    <row r="137" spans="1:9" x14ac:dyDescent="0.2">
      <c r="A137" t="s">
        <v>10</v>
      </c>
      <c r="B137" t="s">
        <v>11</v>
      </c>
      <c r="C137" t="s">
        <v>4</v>
      </c>
      <c r="D137" t="s">
        <v>5</v>
      </c>
      <c r="E137" t="s">
        <v>7</v>
      </c>
      <c r="F137" t="s">
        <v>12</v>
      </c>
      <c r="G137" t="s">
        <v>13</v>
      </c>
      <c r="H137" t="s">
        <v>14</v>
      </c>
      <c r="I137" t="s">
        <v>3</v>
      </c>
    </row>
    <row r="138" spans="1:9" x14ac:dyDescent="0.2">
      <c r="A138" t="s">
        <v>109</v>
      </c>
      <c r="B138">
        <v>1</v>
      </c>
      <c r="C138" t="s">
        <v>110</v>
      </c>
      <c r="D138" t="s">
        <v>6</v>
      </c>
      <c r="E138" t="s">
        <v>8</v>
      </c>
      <c r="G138" t="s">
        <v>15</v>
      </c>
      <c r="H138" t="s">
        <v>23</v>
      </c>
    </row>
    <row r="139" spans="1:9" x14ac:dyDescent="0.2">
      <c r="A139" t="s">
        <v>16</v>
      </c>
      <c r="B139">
        <v>1.4</v>
      </c>
      <c r="C139" t="s">
        <v>17</v>
      </c>
      <c r="D139" t="s">
        <v>6</v>
      </c>
      <c r="E139" t="s">
        <v>103</v>
      </c>
      <c r="G139" t="s">
        <v>19</v>
      </c>
      <c r="H139" t="s">
        <v>20</v>
      </c>
    </row>
    <row r="140" spans="1:9" x14ac:dyDescent="0.2">
      <c r="A140" t="s">
        <v>196</v>
      </c>
      <c r="B140">
        <v>12.8</v>
      </c>
      <c r="C140" t="s">
        <v>197</v>
      </c>
      <c r="D140" t="s">
        <v>6</v>
      </c>
      <c r="E140" t="s">
        <v>104</v>
      </c>
      <c r="G140" t="s">
        <v>19</v>
      </c>
      <c r="H140" t="s">
        <v>23</v>
      </c>
    </row>
    <row r="141" spans="1:9" x14ac:dyDescent="0.2">
      <c r="A141" t="s">
        <v>74</v>
      </c>
      <c r="B141">
        <v>2.3E-2</v>
      </c>
      <c r="C141" t="s">
        <v>75</v>
      </c>
      <c r="D141" t="s">
        <v>6</v>
      </c>
      <c r="E141" t="s">
        <v>105</v>
      </c>
      <c r="G141" t="s">
        <v>19</v>
      </c>
      <c r="H141" t="s">
        <v>23</v>
      </c>
    </row>
    <row r="142" spans="1:9" x14ac:dyDescent="0.2">
      <c r="A142" t="s">
        <v>24</v>
      </c>
      <c r="B142">
        <v>5.0000000000000001E-3</v>
      </c>
      <c r="C142" t="s">
        <v>25</v>
      </c>
      <c r="D142" t="s">
        <v>6</v>
      </c>
      <c r="E142" t="s">
        <v>105</v>
      </c>
      <c r="G142" t="s">
        <v>19</v>
      </c>
      <c r="H142" t="s">
        <v>20</v>
      </c>
    </row>
    <row r="143" spans="1:9" x14ac:dyDescent="0.2">
      <c r="A143" t="s">
        <v>26</v>
      </c>
      <c r="B143">
        <v>1E-3</v>
      </c>
      <c r="C143" t="s">
        <v>27</v>
      </c>
      <c r="D143" t="s">
        <v>6</v>
      </c>
      <c r="E143" t="s">
        <v>105</v>
      </c>
      <c r="G143" t="s">
        <v>19</v>
      </c>
      <c r="H143" t="s">
        <v>20</v>
      </c>
    </row>
    <row r="144" spans="1:9" x14ac:dyDescent="0.2">
      <c r="A144" t="s">
        <v>24</v>
      </c>
      <c r="B144">
        <v>2E-3</v>
      </c>
      <c r="C144" t="s">
        <v>25</v>
      </c>
      <c r="D144" t="s">
        <v>6</v>
      </c>
      <c r="E144" t="s">
        <v>105</v>
      </c>
      <c r="G144" t="s">
        <v>19</v>
      </c>
      <c r="H144" t="s">
        <v>20</v>
      </c>
    </row>
    <row r="145" spans="1:9" x14ac:dyDescent="0.2">
      <c r="A145" t="s">
        <v>30</v>
      </c>
      <c r="B145">
        <v>2E-3</v>
      </c>
      <c r="C145" t="s">
        <v>31</v>
      </c>
      <c r="D145" t="s">
        <v>6</v>
      </c>
      <c r="E145" t="s">
        <v>105</v>
      </c>
      <c r="G145" t="s">
        <v>19</v>
      </c>
      <c r="H145" t="s">
        <v>20</v>
      </c>
    </row>
    <row r="146" spans="1:9" x14ac:dyDescent="0.2">
      <c r="A146" t="s">
        <v>32</v>
      </c>
      <c r="B146">
        <v>0.02</v>
      </c>
      <c r="C146" t="s">
        <v>33</v>
      </c>
      <c r="D146" t="s">
        <v>6</v>
      </c>
      <c r="E146" t="s">
        <v>105</v>
      </c>
      <c r="G146" t="s">
        <v>19</v>
      </c>
      <c r="H146" t="s">
        <v>20</v>
      </c>
    </row>
    <row r="147" spans="1:9" x14ac:dyDescent="0.2">
      <c r="A147" t="s">
        <v>34</v>
      </c>
      <c r="B147">
        <v>20</v>
      </c>
      <c r="C147" t="s">
        <v>35</v>
      </c>
      <c r="D147" t="s">
        <v>6</v>
      </c>
      <c r="E147" t="s">
        <v>105</v>
      </c>
      <c r="G147" t="s">
        <v>19</v>
      </c>
      <c r="H147" t="s">
        <v>20</v>
      </c>
    </row>
    <row r="148" spans="1:9" x14ac:dyDescent="0.2">
      <c r="A148" t="s">
        <v>36</v>
      </c>
      <c r="B148">
        <v>-1.7999999999999999E-2</v>
      </c>
      <c r="C148" t="s">
        <v>37</v>
      </c>
      <c r="D148" t="s">
        <v>21</v>
      </c>
      <c r="E148" t="s">
        <v>106</v>
      </c>
      <c r="G148" t="s">
        <v>19</v>
      </c>
      <c r="H148" t="s">
        <v>20</v>
      </c>
    </row>
    <row r="149" spans="1:9" x14ac:dyDescent="0.2">
      <c r="A149" t="s">
        <v>39</v>
      </c>
      <c r="B149">
        <v>2E-3</v>
      </c>
      <c r="D149" t="s">
        <v>6</v>
      </c>
      <c r="E149" t="s">
        <v>106</v>
      </c>
      <c r="F149" t="s">
        <v>40</v>
      </c>
      <c r="G149" t="s">
        <v>41</v>
      </c>
      <c r="H149" t="s">
        <v>42</v>
      </c>
    </row>
    <row r="151" spans="1:9" x14ac:dyDescent="0.2">
      <c r="A151" t="s">
        <v>1</v>
      </c>
      <c r="B151" t="s">
        <v>111</v>
      </c>
    </row>
    <row r="152" spans="1:9" x14ac:dyDescent="0.2">
      <c r="A152" t="s">
        <v>2</v>
      </c>
      <c r="B152">
        <v>1</v>
      </c>
    </row>
    <row r="153" spans="1:9" x14ac:dyDescent="0.2">
      <c r="A153" t="s">
        <v>3</v>
      </c>
      <c r="B153" t="s">
        <v>101</v>
      </c>
    </row>
    <row r="154" spans="1:9" x14ac:dyDescent="0.2">
      <c r="A154" t="s">
        <v>4</v>
      </c>
      <c r="B154" t="s">
        <v>112</v>
      </c>
    </row>
    <row r="155" spans="1:9" x14ac:dyDescent="0.2">
      <c r="A155" t="s">
        <v>5</v>
      </c>
      <c r="B155" t="s">
        <v>6</v>
      </c>
    </row>
    <row r="156" spans="1:9" x14ac:dyDescent="0.2">
      <c r="A156" t="s">
        <v>7</v>
      </c>
      <c r="B156" t="s">
        <v>8</v>
      </c>
    </row>
    <row r="157" spans="1:9" x14ac:dyDescent="0.2">
      <c r="A157" t="s">
        <v>9</v>
      </c>
    </row>
    <row r="158" spans="1:9" x14ac:dyDescent="0.2">
      <c r="A158" t="s">
        <v>10</v>
      </c>
      <c r="B158" t="s">
        <v>11</v>
      </c>
      <c r="C158" t="s">
        <v>4</v>
      </c>
      <c r="D158" t="s">
        <v>5</v>
      </c>
      <c r="E158" t="s">
        <v>7</v>
      </c>
      <c r="F158" t="s">
        <v>12</v>
      </c>
      <c r="G158" t="s">
        <v>13</v>
      </c>
      <c r="H158" t="s">
        <v>14</v>
      </c>
      <c r="I158" t="s">
        <v>3</v>
      </c>
    </row>
    <row r="159" spans="1:9" x14ac:dyDescent="0.2">
      <c r="A159" t="s">
        <v>111</v>
      </c>
      <c r="B159">
        <v>1</v>
      </c>
      <c r="C159" t="s">
        <v>112</v>
      </c>
      <c r="D159" t="s">
        <v>6</v>
      </c>
      <c r="E159" t="s">
        <v>8</v>
      </c>
      <c r="G159" t="s">
        <v>15</v>
      </c>
      <c r="H159" t="s">
        <v>23</v>
      </c>
    </row>
    <row r="160" spans="1:9" x14ac:dyDescent="0.2">
      <c r="A160" t="s">
        <v>16</v>
      </c>
      <c r="B160">
        <v>1.4</v>
      </c>
      <c r="C160" t="s">
        <v>17</v>
      </c>
      <c r="D160" t="s">
        <v>6</v>
      </c>
      <c r="E160" t="s">
        <v>103</v>
      </c>
      <c r="G160" t="s">
        <v>19</v>
      </c>
      <c r="H160" t="s">
        <v>20</v>
      </c>
    </row>
    <row r="161" spans="1:8" x14ac:dyDescent="0.2">
      <c r="A161" t="s">
        <v>196</v>
      </c>
      <c r="B161">
        <v>12.3</v>
      </c>
      <c r="C161" t="s">
        <v>197</v>
      </c>
      <c r="D161" t="s">
        <v>6</v>
      </c>
      <c r="E161" t="s">
        <v>104</v>
      </c>
      <c r="G161" t="s">
        <v>19</v>
      </c>
      <c r="H161" t="s">
        <v>23</v>
      </c>
    </row>
    <row r="162" spans="1:8" x14ac:dyDescent="0.2">
      <c r="A162" t="s">
        <v>90</v>
      </c>
      <c r="B162">
        <v>2.5000000000000001E-2</v>
      </c>
      <c r="C162" t="s">
        <v>91</v>
      </c>
      <c r="D162" t="s">
        <v>6</v>
      </c>
      <c r="E162" t="s">
        <v>105</v>
      </c>
      <c r="G162" t="s">
        <v>19</v>
      </c>
      <c r="H162" t="s">
        <v>23</v>
      </c>
    </row>
    <row r="163" spans="1:8" x14ac:dyDescent="0.2">
      <c r="A163" t="s">
        <v>24</v>
      </c>
      <c r="B163">
        <v>8.0000000000000002E-3</v>
      </c>
      <c r="C163" t="s">
        <v>25</v>
      </c>
      <c r="D163" t="s">
        <v>6</v>
      </c>
      <c r="E163" t="s">
        <v>105</v>
      </c>
      <c r="G163" t="s">
        <v>19</v>
      </c>
      <c r="H163" t="s">
        <v>20</v>
      </c>
    </row>
    <row r="164" spans="1:8" x14ac:dyDescent="0.2">
      <c r="A164" t="s">
        <v>26</v>
      </c>
      <c r="B164">
        <v>3.0000000000000001E-3</v>
      </c>
      <c r="C164" t="s">
        <v>27</v>
      </c>
      <c r="D164" t="s">
        <v>6</v>
      </c>
      <c r="E164" t="s">
        <v>105</v>
      </c>
      <c r="G164" t="s">
        <v>19</v>
      </c>
      <c r="H164" t="s">
        <v>20</v>
      </c>
    </row>
    <row r="165" spans="1:8" x14ac:dyDescent="0.2">
      <c r="A165" t="s">
        <v>43</v>
      </c>
      <c r="B165">
        <v>8.3000000000000004E-2</v>
      </c>
      <c r="C165" t="s">
        <v>44</v>
      </c>
      <c r="D165" t="s">
        <v>21</v>
      </c>
      <c r="E165" t="s">
        <v>105</v>
      </c>
      <c r="G165" t="s">
        <v>19</v>
      </c>
      <c r="H165" t="s">
        <v>20</v>
      </c>
    </row>
    <row r="166" spans="1:8" x14ac:dyDescent="0.2">
      <c r="A166" t="s">
        <v>24</v>
      </c>
      <c r="B166">
        <v>2E-3</v>
      </c>
      <c r="C166" t="s">
        <v>25</v>
      </c>
      <c r="D166" t="s">
        <v>6</v>
      </c>
      <c r="E166" t="s">
        <v>105</v>
      </c>
      <c r="G166" t="s">
        <v>19</v>
      </c>
      <c r="H166" t="s">
        <v>20</v>
      </c>
    </row>
    <row r="167" spans="1:8" x14ac:dyDescent="0.2">
      <c r="A167" t="s">
        <v>24</v>
      </c>
      <c r="B167">
        <v>5.0000000000000001E-3</v>
      </c>
      <c r="C167" t="s">
        <v>25</v>
      </c>
      <c r="D167" t="s">
        <v>6</v>
      </c>
      <c r="E167" t="s">
        <v>105</v>
      </c>
      <c r="G167" t="s">
        <v>19</v>
      </c>
      <c r="H167" t="s">
        <v>20</v>
      </c>
    </row>
    <row r="168" spans="1:8" x14ac:dyDescent="0.2">
      <c r="A168" t="s">
        <v>32</v>
      </c>
      <c r="B168">
        <v>0.03</v>
      </c>
      <c r="C168" t="s">
        <v>33</v>
      </c>
      <c r="D168" t="s">
        <v>6</v>
      </c>
      <c r="E168" t="s">
        <v>105</v>
      </c>
      <c r="G168" t="s">
        <v>19</v>
      </c>
      <c r="H168" t="s">
        <v>20</v>
      </c>
    </row>
    <row r="169" spans="1:8" x14ac:dyDescent="0.2">
      <c r="A169" t="s">
        <v>34</v>
      </c>
      <c r="B169">
        <v>80</v>
      </c>
      <c r="C169" t="s">
        <v>35</v>
      </c>
      <c r="D169" t="s">
        <v>6</v>
      </c>
      <c r="E169" t="s">
        <v>105</v>
      </c>
      <c r="G169" t="s">
        <v>19</v>
      </c>
      <c r="H169" t="s">
        <v>20</v>
      </c>
    </row>
    <row r="170" spans="1:8" x14ac:dyDescent="0.2">
      <c r="A170" t="s">
        <v>36</v>
      </c>
      <c r="B170">
        <v>-7.1999999999999995E-2</v>
      </c>
      <c r="C170" t="s">
        <v>37</v>
      </c>
      <c r="D170" t="s">
        <v>21</v>
      </c>
      <c r="E170" t="s">
        <v>106</v>
      </c>
      <c r="G170" t="s">
        <v>19</v>
      </c>
      <c r="H170" t="s">
        <v>20</v>
      </c>
    </row>
    <row r="171" spans="1:8" x14ac:dyDescent="0.2">
      <c r="A171" t="s">
        <v>39</v>
      </c>
      <c r="B171">
        <v>8.0000000000000002E-3</v>
      </c>
      <c r="D171" t="s">
        <v>6</v>
      </c>
      <c r="E171" t="s">
        <v>106</v>
      </c>
      <c r="F171" t="s">
        <v>40</v>
      </c>
      <c r="G171" t="s">
        <v>41</v>
      </c>
      <c r="H171" t="s">
        <v>42</v>
      </c>
    </row>
    <row r="173" spans="1:8" x14ac:dyDescent="0.2">
      <c r="A173" t="s">
        <v>1</v>
      </c>
      <c r="B173" t="s">
        <v>113</v>
      </c>
    </row>
    <row r="174" spans="1:8" x14ac:dyDescent="0.2">
      <c r="A174" t="s">
        <v>2</v>
      </c>
      <c r="B174">
        <v>1</v>
      </c>
    </row>
    <row r="175" spans="1:8" x14ac:dyDescent="0.2">
      <c r="A175" t="s">
        <v>3</v>
      </c>
      <c r="B175" t="s">
        <v>114</v>
      </c>
    </row>
    <row r="176" spans="1:8" x14ac:dyDescent="0.2">
      <c r="A176" t="s">
        <v>4</v>
      </c>
      <c r="B176" t="s">
        <v>115</v>
      </c>
    </row>
    <row r="177" spans="1:9" x14ac:dyDescent="0.2">
      <c r="A177" t="s">
        <v>5</v>
      </c>
      <c r="B177" t="s">
        <v>6</v>
      </c>
    </row>
    <row r="178" spans="1:9" x14ac:dyDescent="0.2">
      <c r="A178" t="s">
        <v>7</v>
      </c>
      <c r="B178" t="s">
        <v>8</v>
      </c>
    </row>
    <row r="179" spans="1:9" x14ac:dyDescent="0.2">
      <c r="A179" t="s">
        <v>9</v>
      </c>
    </row>
    <row r="180" spans="1:9" x14ac:dyDescent="0.2">
      <c r="A180" t="s">
        <v>10</v>
      </c>
      <c r="B180" t="s">
        <v>11</v>
      </c>
      <c r="C180" t="s">
        <v>4</v>
      </c>
      <c r="D180" t="s">
        <v>5</v>
      </c>
      <c r="E180" t="s">
        <v>7</v>
      </c>
      <c r="F180" t="s">
        <v>12</v>
      </c>
      <c r="G180" t="s">
        <v>13</v>
      </c>
      <c r="H180" t="s">
        <v>14</v>
      </c>
      <c r="I180" t="s">
        <v>3</v>
      </c>
    </row>
    <row r="181" spans="1:9" x14ac:dyDescent="0.2">
      <c r="A181" t="s">
        <v>113</v>
      </c>
      <c r="B181">
        <v>1</v>
      </c>
      <c r="C181" t="s">
        <v>115</v>
      </c>
      <c r="D181" t="s">
        <v>6</v>
      </c>
      <c r="E181" t="s">
        <v>8</v>
      </c>
      <c r="G181" t="s">
        <v>15</v>
      </c>
      <c r="H181" t="s">
        <v>23</v>
      </c>
    </row>
    <row r="182" spans="1:9" x14ac:dyDescent="0.2">
      <c r="A182" t="s">
        <v>16</v>
      </c>
      <c r="B182">
        <v>0.5</v>
      </c>
      <c r="C182" t="s">
        <v>17</v>
      </c>
      <c r="D182" t="s">
        <v>6</v>
      </c>
      <c r="E182" t="s">
        <v>103</v>
      </c>
      <c r="G182" t="s">
        <v>19</v>
      </c>
      <c r="H182" t="s">
        <v>20</v>
      </c>
    </row>
    <row r="183" spans="1:9" x14ac:dyDescent="0.2">
      <c r="A183" t="s">
        <v>196</v>
      </c>
      <c r="B183">
        <v>26.4</v>
      </c>
      <c r="C183" t="s">
        <v>197</v>
      </c>
      <c r="D183" t="s">
        <v>6</v>
      </c>
      <c r="E183" t="s">
        <v>104</v>
      </c>
      <c r="G183" t="s">
        <v>19</v>
      </c>
      <c r="H183" t="s">
        <v>23</v>
      </c>
    </row>
    <row r="184" spans="1:9" x14ac:dyDescent="0.2">
      <c r="A184" t="s">
        <v>77</v>
      </c>
      <c r="B184">
        <v>3.7999999999999999E-2</v>
      </c>
      <c r="C184" t="s">
        <v>76</v>
      </c>
      <c r="D184" t="s">
        <v>6</v>
      </c>
      <c r="E184" t="s">
        <v>105</v>
      </c>
      <c r="G184" t="s">
        <v>19</v>
      </c>
      <c r="H184" t="s">
        <v>23</v>
      </c>
    </row>
    <row r="185" spans="1:9" x14ac:dyDescent="0.2">
      <c r="A185" t="s">
        <v>24</v>
      </c>
      <c r="B185">
        <v>1.4999999999999999E-2</v>
      </c>
      <c r="C185" t="s">
        <v>25</v>
      </c>
      <c r="D185" t="s">
        <v>6</v>
      </c>
      <c r="E185" t="s">
        <v>105</v>
      </c>
      <c r="G185" t="s">
        <v>19</v>
      </c>
      <c r="H185" t="s">
        <v>20</v>
      </c>
    </row>
    <row r="186" spans="1:9" x14ac:dyDescent="0.2">
      <c r="A186" t="s">
        <v>26</v>
      </c>
      <c r="B186">
        <v>3.0000000000000001E-3</v>
      </c>
      <c r="C186" t="s">
        <v>27</v>
      </c>
      <c r="D186" t="s">
        <v>6</v>
      </c>
      <c r="E186" t="s">
        <v>105</v>
      </c>
      <c r="G186" t="s">
        <v>19</v>
      </c>
      <c r="H186" t="s">
        <v>20</v>
      </c>
    </row>
    <row r="187" spans="1:9" x14ac:dyDescent="0.2">
      <c r="A187" t="s">
        <v>28</v>
      </c>
      <c r="B187">
        <v>1E-3</v>
      </c>
      <c r="C187" t="s">
        <v>29</v>
      </c>
      <c r="D187" t="s">
        <v>21</v>
      </c>
      <c r="E187" t="s">
        <v>105</v>
      </c>
      <c r="G187" t="s">
        <v>19</v>
      </c>
      <c r="H187" t="s">
        <v>20</v>
      </c>
    </row>
    <row r="188" spans="1:9" x14ac:dyDescent="0.2">
      <c r="A188" t="s">
        <v>24</v>
      </c>
      <c r="B188">
        <v>7.0000000000000001E-3</v>
      </c>
      <c r="C188" t="s">
        <v>25</v>
      </c>
      <c r="D188" t="s">
        <v>6</v>
      </c>
      <c r="E188" t="s">
        <v>105</v>
      </c>
      <c r="G188" t="s">
        <v>19</v>
      </c>
      <c r="H188" t="s">
        <v>20</v>
      </c>
    </row>
    <row r="189" spans="1:9" x14ac:dyDescent="0.2">
      <c r="A189" t="s">
        <v>30</v>
      </c>
      <c r="B189">
        <v>5.0000000000000001E-3</v>
      </c>
      <c r="C189" t="s">
        <v>31</v>
      </c>
      <c r="D189" t="s">
        <v>6</v>
      </c>
      <c r="E189" t="s">
        <v>105</v>
      </c>
      <c r="G189" t="s">
        <v>19</v>
      </c>
      <c r="H189" t="s">
        <v>20</v>
      </c>
    </row>
    <row r="190" spans="1:9" x14ac:dyDescent="0.2">
      <c r="A190" t="s">
        <v>32</v>
      </c>
      <c r="B190">
        <v>0.4</v>
      </c>
      <c r="C190" t="s">
        <v>33</v>
      </c>
      <c r="D190" t="s">
        <v>6</v>
      </c>
      <c r="E190" t="s">
        <v>105</v>
      </c>
      <c r="G190" t="s">
        <v>19</v>
      </c>
      <c r="H190" t="s">
        <v>20</v>
      </c>
    </row>
    <row r="191" spans="1:9" x14ac:dyDescent="0.2">
      <c r="A191" t="s">
        <v>34</v>
      </c>
      <c r="B191">
        <v>83</v>
      </c>
      <c r="C191" t="s">
        <v>35</v>
      </c>
      <c r="D191" t="s">
        <v>6</v>
      </c>
      <c r="E191" t="s">
        <v>105</v>
      </c>
      <c r="G191" t="s">
        <v>19</v>
      </c>
      <c r="H191" t="s">
        <v>20</v>
      </c>
    </row>
    <row r="192" spans="1:9" x14ac:dyDescent="0.2">
      <c r="A192" t="s">
        <v>36</v>
      </c>
      <c r="B192">
        <v>-7.4700000000000003E-2</v>
      </c>
      <c r="C192" t="s">
        <v>37</v>
      </c>
      <c r="D192" t="s">
        <v>21</v>
      </c>
      <c r="E192" t="s">
        <v>106</v>
      </c>
      <c r="G192" t="s">
        <v>19</v>
      </c>
      <c r="H192" t="s">
        <v>20</v>
      </c>
    </row>
    <row r="193" spans="1:9" x14ac:dyDescent="0.2">
      <c r="A193" t="s">
        <v>39</v>
      </c>
      <c r="B193">
        <v>8.3000000000000001E-3</v>
      </c>
      <c r="D193" t="s">
        <v>6</v>
      </c>
      <c r="E193" t="s">
        <v>106</v>
      </c>
      <c r="F193" t="s">
        <v>40</v>
      </c>
      <c r="G193" t="s">
        <v>41</v>
      </c>
      <c r="H193" t="s">
        <v>42</v>
      </c>
    </row>
    <row r="195" spans="1:9" x14ac:dyDescent="0.2">
      <c r="A195" t="s">
        <v>1</v>
      </c>
      <c r="B195" t="s">
        <v>116</v>
      </c>
    </row>
    <row r="196" spans="1:9" x14ac:dyDescent="0.2">
      <c r="A196" t="s">
        <v>2</v>
      </c>
      <c r="B196">
        <v>1</v>
      </c>
    </row>
    <row r="197" spans="1:9" x14ac:dyDescent="0.2">
      <c r="A197" t="s">
        <v>3</v>
      </c>
      <c r="B197" t="s">
        <v>114</v>
      </c>
    </row>
    <row r="198" spans="1:9" x14ac:dyDescent="0.2">
      <c r="A198" t="s">
        <v>4</v>
      </c>
      <c r="B198" t="s">
        <v>117</v>
      </c>
    </row>
    <row r="199" spans="1:9" x14ac:dyDescent="0.2">
      <c r="A199" t="s">
        <v>5</v>
      </c>
      <c r="B199" t="s">
        <v>6</v>
      </c>
    </row>
    <row r="200" spans="1:9" x14ac:dyDescent="0.2">
      <c r="A200" t="s">
        <v>7</v>
      </c>
      <c r="B200" t="s">
        <v>8</v>
      </c>
    </row>
    <row r="201" spans="1:9" x14ac:dyDescent="0.2">
      <c r="A201" t="s">
        <v>9</v>
      </c>
    </row>
    <row r="202" spans="1:9" x14ac:dyDescent="0.2">
      <c r="A202" t="s">
        <v>10</v>
      </c>
      <c r="B202" t="s">
        <v>11</v>
      </c>
      <c r="C202" t="s">
        <v>4</v>
      </c>
      <c r="D202" t="s">
        <v>5</v>
      </c>
      <c r="E202" t="s">
        <v>7</v>
      </c>
      <c r="F202" t="s">
        <v>12</v>
      </c>
      <c r="G202" t="s">
        <v>13</v>
      </c>
      <c r="H202" t="s">
        <v>14</v>
      </c>
      <c r="I202" t="s">
        <v>3</v>
      </c>
    </row>
    <row r="203" spans="1:9" x14ac:dyDescent="0.2">
      <c r="A203" t="s">
        <v>116</v>
      </c>
      <c r="B203">
        <v>1</v>
      </c>
      <c r="C203" t="s">
        <v>117</v>
      </c>
      <c r="D203" t="s">
        <v>6</v>
      </c>
      <c r="E203" t="s">
        <v>8</v>
      </c>
      <c r="G203" t="s">
        <v>15</v>
      </c>
      <c r="H203" t="s">
        <v>23</v>
      </c>
    </row>
    <row r="204" spans="1:9" x14ac:dyDescent="0.2">
      <c r="A204" t="s">
        <v>16</v>
      </c>
      <c r="B204">
        <v>0.3</v>
      </c>
      <c r="C204" t="s">
        <v>17</v>
      </c>
      <c r="D204" t="s">
        <v>6</v>
      </c>
      <c r="E204" t="s">
        <v>103</v>
      </c>
      <c r="G204" t="s">
        <v>19</v>
      </c>
      <c r="H204" t="s">
        <v>20</v>
      </c>
    </row>
    <row r="205" spans="1:9" x14ac:dyDescent="0.2">
      <c r="A205" t="s">
        <v>196</v>
      </c>
      <c r="B205">
        <v>15.3</v>
      </c>
      <c r="C205" t="s">
        <v>197</v>
      </c>
      <c r="D205" t="s">
        <v>6</v>
      </c>
      <c r="E205" t="s">
        <v>104</v>
      </c>
      <c r="G205" t="s">
        <v>19</v>
      </c>
      <c r="H205" t="s">
        <v>23</v>
      </c>
    </row>
    <row r="206" spans="1:9" x14ac:dyDescent="0.2">
      <c r="A206" t="s">
        <v>77</v>
      </c>
      <c r="B206">
        <v>0.03</v>
      </c>
      <c r="C206" t="s">
        <v>76</v>
      </c>
      <c r="D206" t="s">
        <v>6</v>
      </c>
      <c r="E206" t="s">
        <v>105</v>
      </c>
      <c r="G206" t="s">
        <v>19</v>
      </c>
      <c r="H206" t="s">
        <v>23</v>
      </c>
    </row>
    <row r="207" spans="1:9" x14ac:dyDescent="0.2">
      <c r="A207" t="s">
        <v>24</v>
      </c>
      <c r="B207">
        <v>1.2E-2</v>
      </c>
      <c r="C207" t="s">
        <v>25</v>
      </c>
      <c r="D207" t="s">
        <v>6</v>
      </c>
      <c r="E207" t="s">
        <v>105</v>
      </c>
      <c r="G207" t="s">
        <v>19</v>
      </c>
      <c r="H207" t="s">
        <v>20</v>
      </c>
    </row>
    <row r="208" spans="1:9" x14ac:dyDescent="0.2">
      <c r="A208" t="s">
        <v>26</v>
      </c>
      <c r="B208">
        <v>3.0000000000000001E-3</v>
      </c>
      <c r="C208" t="s">
        <v>27</v>
      </c>
      <c r="D208" t="s">
        <v>6</v>
      </c>
      <c r="E208" t="s">
        <v>105</v>
      </c>
      <c r="G208" t="s">
        <v>19</v>
      </c>
      <c r="H208" t="s">
        <v>20</v>
      </c>
    </row>
    <row r="209" spans="1:9" x14ac:dyDescent="0.2">
      <c r="A209" t="s">
        <v>28</v>
      </c>
      <c r="B209">
        <v>1E-3</v>
      </c>
      <c r="C209" t="s">
        <v>29</v>
      </c>
      <c r="D209" t="s">
        <v>21</v>
      </c>
      <c r="E209" t="s">
        <v>105</v>
      </c>
      <c r="G209" t="s">
        <v>19</v>
      </c>
      <c r="H209" t="s">
        <v>20</v>
      </c>
    </row>
    <row r="210" spans="1:9" x14ac:dyDescent="0.2">
      <c r="A210" t="s">
        <v>24</v>
      </c>
      <c r="B210">
        <v>5.0000000000000001E-3</v>
      </c>
      <c r="C210" t="s">
        <v>25</v>
      </c>
      <c r="D210" t="s">
        <v>6</v>
      </c>
      <c r="E210" t="s">
        <v>105</v>
      </c>
      <c r="G210" t="s">
        <v>19</v>
      </c>
      <c r="H210" t="s">
        <v>20</v>
      </c>
    </row>
    <row r="211" spans="1:9" x14ac:dyDescent="0.2">
      <c r="A211" t="s">
        <v>30</v>
      </c>
      <c r="B211">
        <v>4.0000000000000001E-3</v>
      </c>
      <c r="C211" t="s">
        <v>31</v>
      </c>
      <c r="D211" t="s">
        <v>6</v>
      </c>
      <c r="E211" t="s">
        <v>105</v>
      </c>
      <c r="G211" t="s">
        <v>19</v>
      </c>
      <c r="H211" t="s">
        <v>20</v>
      </c>
    </row>
    <row r="212" spans="1:9" x14ac:dyDescent="0.2">
      <c r="A212" t="s">
        <v>32</v>
      </c>
      <c r="B212">
        <v>0.32</v>
      </c>
      <c r="C212" t="s">
        <v>33</v>
      </c>
      <c r="D212" t="s">
        <v>6</v>
      </c>
      <c r="E212" t="s">
        <v>105</v>
      </c>
      <c r="G212" t="s">
        <v>19</v>
      </c>
      <c r="H212" t="s">
        <v>20</v>
      </c>
    </row>
    <row r="213" spans="1:9" x14ac:dyDescent="0.2">
      <c r="A213" t="s">
        <v>34</v>
      </c>
      <c r="B213">
        <v>67</v>
      </c>
      <c r="C213" t="s">
        <v>35</v>
      </c>
      <c r="D213" t="s">
        <v>6</v>
      </c>
      <c r="E213" t="s">
        <v>105</v>
      </c>
      <c r="G213" t="s">
        <v>19</v>
      </c>
      <c r="H213" t="s">
        <v>20</v>
      </c>
    </row>
    <row r="214" spans="1:9" x14ac:dyDescent="0.2">
      <c r="A214" t="s">
        <v>36</v>
      </c>
      <c r="B214">
        <v>-6.0299999999999999E-2</v>
      </c>
      <c r="C214" t="s">
        <v>37</v>
      </c>
      <c r="D214" t="s">
        <v>21</v>
      </c>
      <c r="E214" t="s">
        <v>106</v>
      </c>
      <c r="G214" t="s">
        <v>19</v>
      </c>
      <c r="H214" t="s">
        <v>20</v>
      </c>
    </row>
    <row r="215" spans="1:9" x14ac:dyDescent="0.2">
      <c r="A215" t="s">
        <v>39</v>
      </c>
      <c r="B215">
        <v>6.7000000000000002E-3</v>
      </c>
      <c r="D215" t="s">
        <v>6</v>
      </c>
      <c r="E215" t="s">
        <v>106</v>
      </c>
      <c r="F215" t="s">
        <v>40</v>
      </c>
      <c r="G215" t="s">
        <v>41</v>
      </c>
      <c r="H215" t="s">
        <v>42</v>
      </c>
    </row>
    <row r="217" spans="1:9" x14ac:dyDescent="0.2">
      <c r="A217" t="s">
        <v>1</v>
      </c>
      <c r="B217" t="s">
        <v>118</v>
      </c>
    </row>
    <row r="218" spans="1:9" x14ac:dyDescent="0.2">
      <c r="A218" t="s">
        <v>2</v>
      </c>
      <c r="B218">
        <v>1</v>
      </c>
    </row>
    <row r="219" spans="1:9" x14ac:dyDescent="0.2">
      <c r="A219" t="s">
        <v>3</v>
      </c>
      <c r="B219" t="s">
        <v>114</v>
      </c>
    </row>
    <row r="220" spans="1:9" x14ac:dyDescent="0.2">
      <c r="A220" t="s">
        <v>4</v>
      </c>
      <c r="B220" t="s">
        <v>119</v>
      </c>
    </row>
    <row r="221" spans="1:9" x14ac:dyDescent="0.2">
      <c r="A221" t="s">
        <v>5</v>
      </c>
      <c r="B221" t="s">
        <v>6</v>
      </c>
    </row>
    <row r="222" spans="1:9" x14ac:dyDescent="0.2">
      <c r="A222" t="s">
        <v>7</v>
      </c>
      <c r="B222" t="s">
        <v>8</v>
      </c>
    </row>
    <row r="223" spans="1:9" x14ac:dyDescent="0.2">
      <c r="A223" t="s">
        <v>9</v>
      </c>
    </row>
    <row r="224" spans="1:9" x14ac:dyDescent="0.2">
      <c r="A224" t="s">
        <v>10</v>
      </c>
      <c r="B224" t="s">
        <v>11</v>
      </c>
      <c r="C224" t="s">
        <v>4</v>
      </c>
      <c r="D224" t="s">
        <v>5</v>
      </c>
      <c r="E224" t="s">
        <v>7</v>
      </c>
      <c r="F224" t="s">
        <v>12</v>
      </c>
      <c r="G224" t="s">
        <v>13</v>
      </c>
      <c r="H224" t="s">
        <v>14</v>
      </c>
      <c r="I224" t="s">
        <v>3</v>
      </c>
    </row>
    <row r="225" spans="1:8" x14ac:dyDescent="0.2">
      <c r="A225" t="s">
        <v>118</v>
      </c>
      <c r="B225">
        <v>1</v>
      </c>
      <c r="C225" t="s">
        <v>119</v>
      </c>
      <c r="D225" t="s">
        <v>6</v>
      </c>
      <c r="E225" t="s">
        <v>8</v>
      </c>
      <c r="G225" t="s">
        <v>15</v>
      </c>
      <c r="H225" t="s">
        <v>23</v>
      </c>
    </row>
    <row r="226" spans="1:8" x14ac:dyDescent="0.2">
      <c r="A226" t="s">
        <v>16</v>
      </c>
      <c r="B226">
        <v>0.3</v>
      </c>
      <c r="C226" t="s">
        <v>17</v>
      </c>
      <c r="D226" t="s">
        <v>6</v>
      </c>
      <c r="E226" t="s">
        <v>103</v>
      </c>
      <c r="G226" t="s">
        <v>19</v>
      </c>
      <c r="H226" t="s">
        <v>20</v>
      </c>
    </row>
    <row r="227" spans="1:8" x14ac:dyDescent="0.2">
      <c r="A227" t="s">
        <v>196</v>
      </c>
      <c r="B227">
        <v>23.8</v>
      </c>
      <c r="C227" t="s">
        <v>197</v>
      </c>
      <c r="D227" t="s">
        <v>6</v>
      </c>
      <c r="E227" t="s">
        <v>104</v>
      </c>
      <c r="G227" t="s">
        <v>19</v>
      </c>
      <c r="H227" t="s">
        <v>23</v>
      </c>
    </row>
    <row r="228" spans="1:8" x14ac:dyDescent="0.2">
      <c r="A228" t="s">
        <v>74</v>
      </c>
      <c r="B228">
        <v>2.3E-2</v>
      </c>
      <c r="C228" t="s">
        <v>75</v>
      </c>
      <c r="D228" t="s">
        <v>6</v>
      </c>
      <c r="E228" t="s">
        <v>105</v>
      </c>
      <c r="G228" t="s">
        <v>19</v>
      </c>
      <c r="H228" t="s">
        <v>23</v>
      </c>
    </row>
    <row r="229" spans="1:8" x14ac:dyDescent="0.2">
      <c r="A229" t="s">
        <v>24</v>
      </c>
      <c r="B229">
        <v>8.9999999999999993E-3</v>
      </c>
      <c r="C229" t="s">
        <v>25</v>
      </c>
      <c r="D229" t="s">
        <v>6</v>
      </c>
      <c r="E229" t="s">
        <v>105</v>
      </c>
      <c r="G229" t="s">
        <v>19</v>
      </c>
      <c r="H229" t="s">
        <v>20</v>
      </c>
    </row>
    <row r="230" spans="1:8" x14ac:dyDescent="0.2">
      <c r="A230" t="s">
        <v>26</v>
      </c>
      <c r="B230">
        <v>2E-3</v>
      </c>
      <c r="C230" t="s">
        <v>27</v>
      </c>
      <c r="D230" t="s">
        <v>6</v>
      </c>
      <c r="E230" t="s">
        <v>105</v>
      </c>
      <c r="G230" t="s">
        <v>19</v>
      </c>
      <c r="H230" t="s">
        <v>20</v>
      </c>
    </row>
    <row r="231" spans="1:8" x14ac:dyDescent="0.2">
      <c r="A231" t="s">
        <v>28</v>
      </c>
      <c r="B231">
        <v>1E-3</v>
      </c>
      <c r="C231" t="s">
        <v>29</v>
      </c>
      <c r="D231" t="s">
        <v>21</v>
      </c>
      <c r="E231" t="s">
        <v>105</v>
      </c>
      <c r="G231" t="s">
        <v>19</v>
      </c>
      <c r="H231" t="s">
        <v>20</v>
      </c>
    </row>
    <row r="232" spans="1:8" x14ac:dyDescent="0.2">
      <c r="A232" t="s">
        <v>24</v>
      </c>
      <c r="B232">
        <v>4.0000000000000001E-3</v>
      </c>
      <c r="C232" t="s">
        <v>25</v>
      </c>
      <c r="D232" t="s">
        <v>6</v>
      </c>
      <c r="E232" t="s">
        <v>105</v>
      </c>
      <c r="G232" t="s">
        <v>19</v>
      </c>
      <c r="H232" t="s">
        <v>20</v>
      </c>
    </row>
    <row r="233" spans="1:8" x14ac:dyDescent="0.2">
      <c r="A233" t="s">
        <v>30</v>
      </c>
      <c r="B233">
        <v>3.0000000000000001E-3</v>
      </c>
      <c r="C233" t="s">
        <v>31</v>
      </c>
      <c r="D233" t="s">
        <v>6</v>
      </c>
      <c r="E233" t="s">
        <v>105</v>
      </c>
      <c r="G233" t="s">
        <v>19</v>
      </c>
      <c r="H233" t="s">
        <v>20</v>
      </c>
    </row>
    <row r="234" spans="1:8" x14ac:dyDescent="0.2">
      <c r="A234" t="s">
        <v>32</v>
      </c>
      <c r="B234">
        <v>0.24</v>
      </c>
      <c r="C234" t="s">
        <v>33</v>
      </c>
      <c r="D234" t="s">
        <v>6</v>
      </c>
      <c r="E234" t="s">
        <v>105</v>
      </c>
      <c r="G234" t="s">
        <v>19</v>
      </c>
      <c r="H234" t="s">
        <v>20</v>
      </c>
    </row>
    <row r="235" spans="1:8" x14ac:dyDescent="0.2">
      <c r="A235" t="s">
        <v>34</v>
      </c>
      <c r="B235">
        <v>50</v>
      </c>
      <c r="C235" t="s">
        <v>35</v>
      </c>
      <c r="D235" t="s">
        <v>6</v>
      </c>
      <c r="E235" t="s">
        <v>105</v>
      </c>
      <c r="G235" t="s">
        <v>19</v>
      </c>
      <c r="H235" t="s">
        <v>20</v>
      </c>
    </row>
    <row r="236" spans="1:8" x14ac:dyDescent="0.2">
      <c r="A236" t="s">
        <v>36</v>
      </c>
      <c r="B236">
        <v>-4.4999999999999998E-2</v>
      </c>
      <c r="C236" t="s">
        <v>37</v>
      </c>
      <c r="D236" t="s">
        <v>21</v>
      </c>
      <c r="E236" t="s">
        <v>106</v>
      </c>
      <c r="G236" t="s">
        <v>19</v>
      </c>
      <c r="H236" t="s">
        <v>20</v>
      </c>
    </row>
    <row r="237" spans="1:8" x14ac:dyDescent="0.2">
      <c r="A237" t="s">
        <v>39</v>
      </c>
      <c r="B237">
        <v>5.0000000000000001E-3</v>
      </c>
      <c r="D237" t="s">
        <v>6</v>
      </c>
      <c r="E237" t="s">
        <v>106</v>
      </c>
      <c r="F237" t="s">
        <v>40</v>
      </c>
      <c r="G237" t="s">
        <v>41</v>
      </c>
      <c r="H237" t="s">
        <v>42</v>
      </c>
    </row>
    <row r="239" spans="1:8" x14ac:dyDescent="0.2">
      <c r="A239" t="s">
        <v>1</v>
      </c>
      <c r="B239" t="s">
        <v>120</v>
      </c>
    </row>
    <row r="240" spans="1:8" x14ac:dyDescent="0.2">
      <c r="A240" t="s">
        <v>2</v>
      </c>
      <c r="B240">
        <v>1</v>
      </c>
    </row>
    <row r="241" spans="1:9" x14ac:dyDescent="0.2">
      <c r="A241" t="s">
        <v>3</v>
      </c>
      <c r="B241" t="s">
        <v>114</v>
      </c>
    </row>
    <row r="242" spans="1:9" x14ac:dyDescent="0.2">
      <c r="A242" t="s">
        <v>4</v>
      </c>
      <c r="B242" t="s">
        <v>121</v>
      </c>
    </row>
    <row r="243" spans="1:9" x14ac:dyDescent="0.2">
      <c r="A243" t="s">
        <v>5</v>
      </c>
      <c r="B243" t="s">
        <v>6</v>
      </c>
    </row>
    <row r="244" spans="1:9" x14ac:dyDescent="0.2">
      <c r="A244" t="s">
        <v>7</v>
      </c>
      <c r="B244" t="s">
        <v>8</v>
      </c>
    </row>
    <row r="245" spans="1:9" x14ac:dyDescent="0.2">
      <c r="A245" t="s">
        <v>9</v>
      </c>
    </row>
    <row r="246" spans="1:9" x14ac:dyDescent="0.2">
      <c r="A246" t="s">
        <v>10</v>
      </c>
      <c r="B246" t="s">
        <v>11</v>
      </c>
      <c r="C246" t="s">
        <v>4</v>
      </c>
      <c r="D246" t="s">
        <v>5</v>
      </c>
      <c r="E246" t="s">
        <v>7</v>
      </c>
      <c r="F246" t="s">
        <v>12</v>
      </c>
      <c r="G246" t="s">
        <v>13</v>
      </c>
      <c r="H246" t="s">
        <v>14</v>
      </c>
      <c r="I246" t="s">
        <v>3</v>
      </c>
    </row>
    <row r="247" spans="1:9" x14ac:dyDescent="0.2">
      <c r="A247" t="s">
        <v>120</v>
      </c>
      <c r="B247">
        <v>1</v>
      </c>
      <c r="C247" t="s">
        <v>121</v>
      </c>
      <c r="D247" t="s">
        <v>6</v>
      </c>
      <c r="E247" t="s">
        <v>8</v>
      </c>
      <c r="G247" t="s">
        <v>15</v>
      </c>
      <c r="H247" t="s">
        <v>23</v>
      </c>
    </row>
    <row r="248" spans="1:9" x14ac:dyDescent="0.2">
      <c r="A248" t="s">
        <v>16</v>
      </c>
      <c r="B248">
        <v>0.3</v>
      </c>
      <c r="C248" t="s">
        <v>17</v>
      </c>
      <c r="D248" t="s">
        <v>6</v>
      </c>
      <c r="E248" t="s">
        <v>103</v>
      </c>
      <c r="G248" t="s">
        <v>19</v>
      </c>
      <c r="H248" t="s">
        <v>20</v>
      </c>
    </row>
    <row r="249" spans="1:9" x14ac:dyDescent="0.2">
      <c r="A249" t="s">
        <v>196</v>
      </c>
      <c r="B249">
        <v>22.9</v>
      </c>
      <c r="C249" t="s">
        <v>197</v>
      </c>
      <c r="D249" t="s">
        <v>6</v>
      </c>
      <c r="E249" t="s">
        <v>104</v>
      </c>
      <c r="G249" t="s">
        <v>19</v>
      </c>
      <c r="H249" t="s">
        <v>23</v>
      </c>
    </row>
    <row r="250" spans="1:9" x14ac:dyDescent="0.2">
      <c r="A250" t="s">
        <v>90</v>
      </c>
      <c r="B250">
        <v>2.5000000000000001E-2</v>
      </c>
      <c r="C250" t="s">
        <v>91</v>
      </c>
      <c r="D250" t="s">
        <v>6</v>
      </c>
      <c r="E250" t="s">
        <v>105</v>
      </c>
      <c r="G250" t="s">
        <v>19</v>
      </c>
      <c r="H250" t="s">
        <v>23</v>
      </c>
    </row>
    <row r="251" spans="1:9" x14ac:dyDescent="0.2">
      <c r="A251" t="s">
        <v>24</v>
      </c>
      <c r="B251">
        <v>1.4999999999999999E-2</v>
      </c>
      <c r="C251" t="s">
        <v>25</v>
      </c>
      <c r="D251" t="s">
        <v>6</v>
      </c>
      <c r="E251" t="s">
        <v>105</v>
      </c>
      <c r="G251" t="s">
        <v>19</v>
      </c>
      <c r="H251" t="s">
        <v>20</v>
      </c>
    </row>
    <row r="252" spans="1:9" x14ac:dyDescent="0.2">
      <c r="A252" t="s">
        <v>26</v>
      </c>
      <c r="B252">
        <v>5.0000000000000001E-3</v>
      </c>
      <c r="C252" t="s">
        <v>27</v>
      </c>
      <c r="D252" t="s">
        <v>6</v>
      </c>
      <c r="E252" t="s">
        <v>105</v>
      </c>
      <c r="G252" t="s">
        <v>19</v>
      </c>
      <c r="H252" t="s">
        <v>20</v>
      </c>
    </row>
    <row r="253" spans="1:9" x14ac:dyDescent="0.2">
      <c r="A253" t="s">
        <v>45</v>
      </c>
      <c r="B253">
        <v>0.16500000000000001</v>
      </c>
      <c r="C253" t="s">
        <v>46</v>
      </c>
      <c r="D253" t="s">
        <v>21</v>
      </c>
      <c r="E253" t="s">
        <v>105</v>
      </c>
      <c r="G253" t="s">
        <v>19</v>
      </c>
      <c r="H253" t="s">
        <v>20</v>
      </c>
    </row>
    <row r="254" spans="1:9" x14ac:dyDescent="0.2">
      <c r="A254" t="s">
        <v>24</v>
      </c>
      <c r="B254">
        <v>3.0000000000000001E-3</v>
      </c>
      <c r="C254" t="s">
        <v>25</v>
      </c>
      <c r="D254" t="s">
        <v>6</v>
      </c>
      <c r="E254" t="s">
        <v>105</v>
      </c>
      <c r="G254" t="s">
        <v>19</v>
      </c>
      <c r="H254" t="s">
        <v>20</v>
      </c>
    </row>
    <row r="255" spans="1:9" x14ac:dyDescent="0.2">
      <c r="A255" t="s">
        <v>24</v>
      </c>
      <c r="B255">
        <v>0.01</v>
      </c>
      <c r="C255" t="s">
        <v>25</v>
      </c>
      <c r="D255" t="s">
        <v>6</v>
      </c>
      <c r="E255" t="s">
        <v>105</v>
      </c>
      <c r="G255" t="s">
        <v>19</v>
      </c>
      <c r="H255" t="s">
        <v>20</v>
      </c>
    </row>
    <row r="256" spans="1:9" x14ac:dyDescent="0.2">
      <c r="A256" t="s">
        <v>32</v>
      </c>
      <c r="B256">
        <v>0.36</v>
      </c>
      <c r="C256" t="s">
        <v>33</v>
      </c>
      <c r="D256" t="s">
        <v>6</v>
      </c>
      <c r="E256" t="s">
        <v>105</v>
      </c>
      <c r="G256" t="s">
        <v>19</v>
      </c>
      <c r="H256" t="s">
        <v>20</v>
      </c>
    </row>
    <row r="257" spans="1:9" x14ac:dyDescent="0.2">
      <c r="A257" t="s">
        <v>34</v>
      </c>
      <c r="B257">
        <v>75</v>
      </c>
      <c r="C257" t="s">
        <v>35</v>
      </c>
      <c r="D257" t="s">
        <v>6</v>
      </c>
      <c r="E257" t="s">
        <v>105</v>
      </c>
      <c r="G257" t="s">
        <v>19</v>
      </c>
      <c r="H257" t="s">
        <v>20</v>
      </c>
    </row>
    <row r="258" spans="1:9" x14ac:dyDescent="0.2">
      <c r="A258" t="s">
        <v>36</v>
      </c>
      <c r="B258">
        <v>-6.7500000000000004E-2</v>
      </c>
      <c r="C258" t="s">
        <v>37</v>
      </c>
      <c r="D258" t="s">
        <v>21</v>
      </c>
      <c r="E258" t="s">
        <v>106</v>
      </c>
      <c r="G258" t="s">
        <v>19</v>
      </c>
      <c r="H258" t="s">
        <v>20</v>
      </c>
    </row>
    <row r="259" spans="1:9" x14ac:dyDescent="0.2">
      <c r="A259" t="s">
        <v>39</v>
      </c>
      <c r="B259">
        <v>7.4999999999999997E-3</v>
      </c>
      <c r="D259" t="s">
        <v>6</v>
      </c>
      <c r="E259" t="s">
        <v>106</v>
      </c>
      <c r="F259" t="s">
        <v>40</v>
      </c>
      <c r="G259" t="s">
        <v>41</v>
      </c>
      <c r="H259" t="s">
        <v>42</v>
      </c>
    </row>
    <row r="261" spans="1:9" x14ac:dyDescent="0.2">
      <c r="A261" t="s">
        <v>1</v>
      </c>
      <c r="B261" t="s">
        <v>122</v>
      </c>
    </row>
    <row r="262" spans="1:9" x14ac:dyDescent="0.2">
      <c r="A262" t="s">
        <v>2</v>
      </c>
      <c r="B262">
        <v>1</v>
      </c>
    </row>
    <row r="263" spans="1:9" x14ac:dyDescent="0.2">
      <c r="A263" t="s">
        <v>3</v>
      </c>
      <c r="B263" t="s">
        <v>123</v>
      </c>
    </row>
    <row r="264" spans="1:9" x14ac:dyDescent="0.2">
      <c r="A264" t="s">
        <v>4</v>
      </c>
      <c r="B264" t="s">
        <v>124</v>
      </c>
    </row>
    <row r="265" spans="1:9" x14ac:dyDescent="0.2">
      <c r="A265" t="s">
        <v>5</v>
      </c>
      <c r="B265" t="s">
        <v>6</v>
      </c>
    </row>
    <row r="266" spans="1:9" x14ac:dyDescent="0.2">
      <c r="A266" t="s">
        <v>7</v>
      </c>
      <c r="B266" t="s">
        <v>8</v>
      </c>
    </row>
    <row r="267" spans="1:9" x14ac:dyDescent="0.2">
      <c r="A267" t="s">
        <v>9</v>
      </c>
    </row>
    <row r="268" spans="1:9" x14ac:dyDescent="0.2">
      <c r="A268" t="s">
        <v>10</v>
      </c>
      <c r="B268" t="s">
        <v>11</v>
      </c>
      <c r="C268" t="s">
        <v>4</v>
      </c>
      <c r="D268" t="s">
        <v>5</v>
      </c>
      <c r="E268" t="s">
        <v>7</v>
      </c>
      <c r="F268" t="s">
        <v>12</v>
      </c>
      <c r="G268" t="s">
        <v>13</v>
      </c>
      <c r="H268" t="s">
        <v>14</v>
      </c>
      <c r="I268" t="s">
        <v>3</v>
      </c>
    </row>
    <row r="269" spans="1:9" x14ac:dyDescent="0.2">
      <c r="A269" t="s">
        <v>122</v>
      </c>
      <c r="B269">
        <v>1</v>
      </c>
      <c r="C269" t="s">
        <v>124</v>
      </c>
      <c r="D269" t="s">
        <v>6</v>
      </c>
      <c r="E269" t="s">
        <v>8</v>
      </c>
      <c r="G269" t="s">
        <v>15</v>
      </c>
      <c r="H269" t="s">
        <v>23</v>
      </c>
    </row>
    <row r="270" spans="1:9" x14ac:dyDescent="0.2">
      <c r="A270" t="s">
        <v>16</v>
      </c>
      <c r="B270">
        <v>3.4</v>
      </c>
      <c r="C270" t="s">
        <v>17</v>
      </c>
      <c r="D270" t="s">
        <v>6</v>
      </c>
      <c r="E270" t="s">
        <v>103</v>
      </c>
      <c r="G270" t="s">
        <v>19</v>
      </c>
      <c r="H270" t="s">
        <v>20</v>
      </c>
    </row>
    <row r="271" spans="1:9" x14ac:dyDescent="0.2">
      <c r="A271" t="s">
        <v>196</v>
      </c>
      <c r="B271">
        <v>28.6</v>
      </c>
      <c r="C271" t="s">
        <v>197</v>
      </c>
      <c r="D271" t="s">
        <v>6</v>
      </c>
      <c r="E271" t="s">
        <v>104</v>
      </c>
      <c r="G271" t="s">
        <v>19</v>
      </c>
      <c r="H271" t="s">
        <v>23</v>
      </c>
    </row>
    <row r="272" spans="1:9" x14ac:dyDescent="0.2">
      <c r="A272" t="s">
        <v>77</v>
      </c>
      <c r="B272">
        <v>7.4999999999999997E-2</v>
      </c>
      <c r="C272" t="s">
        <v>76</v>
      </c>
      <c r="D272" t="s">
        <v>6</v>
      </c>
      <c r="E272" t="s">
        <v>105</v>
      </c>
      <c r="G272" t="s">
        <v>19</v>
      </c>
      <c r="H272" t="s">
        <v>23</v>
      </c>
    </row>
    <row r="273" spans="1:8" x14ac:dyDescent="0.2">
      <c r="A273" t="s">
        <v>24</v>
      </c>
      <c r="B273">
        <v>4.4999999999999998E-2</v>
      </c>
      <c r="C273" t="s">
        <v>25</v>
      </c>
      <c r="D273" t="s">
        <v>6</v>
      </c>
      <c r="E273" t="s">
        <v>105</v>
      </c>
      <c r="G273" t="s">
        <v>19</v>
      </c>
      <c r="H273" t="s">
        <v>20</v>
      </c>
    </row>
    <row r="274" spans="1:8" x14ac:dyDescent="0.2">
      <c r="A274" t="s">
        <v>26</v>
      </c>
      <c r="B274">
        <v>0.01</v>
      </c>
      <c r="C274" t="s">
        <v>27</v>
      </c>
      <c r="D274" t="s">
        <v>6</v>
      </c>
      <c r="E274" t="s">
        <v>105</v>
      </c>
      <c r="G274" t="s">
        <v>19</v>
      </c>
      <c r="H274" t="s">
        <v>20</v>
      </c>
    </row>
    <row r="275" spans="1:8" x14ac:dyDescent="0.2">
      <c r="A275" t="s">
        <v>28</v>
      </c>
      <c r="B275">
        <v>4.0000000000000001E-3</v>
      </c>
      <c r="C275" t="s">
        <v>29</v>
      </c>
      <c r="D275" t="s">
        <v>21</v>
      </c>
      <c r="E275" t="s">
        <v>105</v>
      </c>
      <c r="G275" t="s">
        <v>19</v>
      </c>
      <c r="H275" t="s">
        <v>20</v>
      </c>
    </row>
    <row r="276" spans="1:8" x14ac:dyDescent="0.2">
      <c r="A276" t="s">
        <v>24</v>
      </c>
      <c r="B276">
        <v>0.02</v>
      </c>
      <c r="C276" t="s">
        <v>25</v>
      </c>
      <c r="D276" t="s">
        <v>6</v>
      </c>
      <c r="E276" t="s">
        <v>105</v>
      </c>
      <c r="G276" t="s">
        <v>19</v>
      </c>
      <c r="H276" t="s">
        <v>20</v>
      </c>
    </row>
    <row r="277" spans="1:8" x14ac:dyDescent="0.2">
      <c r="A277" t="s">
        <v>30</v>
      </c>
      <c r="B277">
        <v>1.4999999999999999E-2</v>
      </c>
      <c r="C277" t="s">
        <v>31</v>
      </c>
      <c r="D277" t="s">
        <v>6</v>
      </c>
      <c r="E277" t="s">
        <v>105</v>
      </c>
      <c r="G277" t="s">
        <v>19</v>
      </c>
      <c r="H277" t="s">
        <v>20</v>
      </c>
    </row>
    <row r="278" spans="1:8" x14ac:dyDescent="0.2">
      <c r="A278" t="s">
        <v>32</v>
      </c>
      <c r="B278">
        <v>0.2</v>
      </c>
      <c r="C278" t="s">
        <v>33</v>
      </c>
      <c r="D278" t="s">
        <v>6</v>
      </c>
      <c r="E278" t="s">
        <v>105</v>
      </c>
      <c r="G278" t="s">
        <v>19</v>
      </c>
      <c r="H278" t="s">
        <v>20</v>
      </c>
    </row>
    <row r="279" spans="1:8" x14ac:dyDescent="0.2">
      <c r="A279" t="s">
        <v>34</v>
      </c>
      <c r="B279">
        <v>167</v>
      </c>
      <c r="C279" t="s">
        <v>35</v>
      </c>
      <c r="D279" t="s">
        <v>6</v>
      </c>
      <c r="E279" t="s">
        <v>105</v>
      </c>
      <c r="G279" t="s">
        <v>19</v>
      </c>
      <c r="H279" t="s">
        <v>20</v>
      </c>
    </row>
    <row r="280" spans="1:8" x14ac:dyDescent="0.2">
      <c r="A280" t="s">
        <v>36</v>
      </c>
      <c r="B280">
        <v>-0.15029999999999999</v>
      </c>
      <c r="C280" t="s">
        <v>37</v>
      </c>
      <c r="D280" t="s">
        <v>21</v>
      </c>
      <c r="E280" t="s">
        <v>106</v>
      </c>
      <c r="G280" t="s">
        <v>19</v>
      </c>
      <c r="H280" t="s">
        <v>20</v>
      </c>
    </row>
    <row r="281" spans="1:8" x14ac:dyDescent="0.2">
      <c r="A281" t="s">
        <v>39</v>
      </c>
      <c r="B281">
        <v>1.67E-2</v>
      </c>
      <c r="D281" t="s">
        <v>6</v>
      </c>
      <c r="E281" t="s">
        <v>106</v>
      </c>
      <c r="F281" t="s">
        <v>40</v>
      </c>
      <c r="G281" t="s">
        <v>41</v>
      </c>
      <c r="H281" t="s">
        <v>42</v>
      </c>
    </row>
    <row r="283" spans="1:8" x14ac:dyDescent="0.2">
      <c r="A283" t="s">
        <v>1</v>
      </c>
      <c r="B283" t="s">
        <v>125</v>
      </c>
    </row>
    <row r="284" spans="1:8" x14ac:dyDescent="0.2">
      <c r="A284" t="s">
        <v>2</v>
      </c>
      <c r="B284">
        <v>1</v>
      </c>
    </row>
    <row r="285" spans="1:8" x14ac:dyDescent="0.2">
      <c r="A285" t="s">
        <v>3</v>
      </c>
      <c r="B285" t="s">
        <v>123</v>
      </c>
    </row>
    <row r="286" spans="1:8" x14ac:dyDescent="0.2">
      <c r="A286" t="s">
        <v>4</v>
      </c>
      <c r="B286" t="s">
        <v>126</v>
      </c>
    </row>
    <row r="287" spans="1:8" x14ac:dyDescent="0.2">
      <c r="A287" t="s">
        <v>5</v>
      </c>
      <c r="B287" t="s">
        <v>6</v>
      </c>
    </row>
    <row r="288" spans="1:8" x14ac:dyDescent="0.2">
      <c r="A288" t="s">
        <v>7</v>
      </c>
      <c r="B288" t="s">
        <v>8</v>
      </c>
    </row>
    <row r="289" spans="1:9" x14ac:dyDescent="0.2">
      <c r="A289" t="s">
        <v>9</v>
      </c>
    </row>
    <row r="290" spans="1:9" x14ac:dyDescent="0.2">
      <c r="A290" t="s">
        <v>10</v>
      </c>
      <c r="B290" t="s">
        <v>11</v>
      </c>
      <c r="C290" t="s">
        <v>4</v>
      </c>
      <c r="D290" t="s">
        <v>5</v>
      </c>
      <c r="E290" t="s">
        <v>7</v>
      </c>
      <c r="F290" t="s">
        <v>12</v>
      </c>
      <c r="G290" t="s">
        <v>13</v>
      </c>
      <c r="H290" t="s">
        <v>14</v>
      </c>
      <c r="I290" t="s">
        <v>3</v>
      </c>
    </row>
    <row r="291" spans="1:9" x14ac:dyDescent="0.2">
      <c r="A291" t="s">
        <v>125</v>
      </c>
      <c r="B291">
        <v>1</v>
      </c>
      <c r="C291" t="s">
        <v>126</v>
      </c>
      <c r="D291" t="s">
        <v>6</v>
      </c>
      <c r="E291" t="s">
        <v>8</v>
      </c>
      <c r="G291" t="s">
        <v>15</v>
      </c>
      <c r="H291" t="s">
        <v>23</v>
      </c>
    </row>
    <row r="292" spans="1:9" x14ac:dyDescent="0.2">
      <c r="A292" t="s">
        <v>16</v>
      </c>
      <c r="B292">
        <v>1.9</v>
      </c>
      <c r="C292" t="s">
        <v>17</v>
      </c>
      <c r="D292" t="s">
        <v>6</v>
      </c>
      <c r="E292" t="s">
        <v>103</v>
      </c>
      <c r="G292" t="s">
        <v>19</v>
      </c>
      <c r="H292" t="s">
        <v>20</v>
      </c>
    </row>
    <row r="293" spans="1:9" x14ac:dyDescent="0.2">
      <c r="A293" t="s">
        <v>196</v>
      </c>
      <c r="B293">
        <v>16.600000000000001</v>
      </c>
      <c r="C293" t="s">
        <v>197</v>
      </c>
      <c r="D293" t="s">
        <v>6</v>
      </c>
      <c r="E293" t="s">
        <v>104</v>
      </c>
      <c r="G293" t="s">
        <v>19</v>
      </c>
      <c r="H293" t="s">
        <v>23</v>
      </c>
    </row>
    <row r="294" spans="1:9" x14ac:dyDescent="0.2">
      <c r="A294" t="s">
        <v>77</v>
      </c>
      <c r="B294">
        <v>0.06</v>
      </c>
      <c r="C294" t="s">
        <v>76</v>
      </c>
      <c r="D294" t="s">
        <v>6</v>
      </c>
      <c r="E294" t="s">
        <v>105</v>
      </c>
      <c r="G294" t="s">
        <v>19</v>
      </c>
      <c r="H294" t="s">
        <v>23</v>
      </c>
    </row>
    <row r="295" spans="1:9" x14ac:dyDescent="0.2">
      <c r="A295" t="s">
        <v>24</v>
      </c>
      <c r="B295">
        <v>3.5999999999999997E-2</v>
      </c>
      <c r="C295" t="s">
        <v>25</v>
      </c>
      <c r="D295" t="s">
        <v>6</v>
      </c>
      <c r="E295" t="s">
        <v>105</v>
      </c>
      <c r="G295" t="s">
        <v>19</v>
      </c>
      <c r="H295" t="s">
        <v>20</v>
      </c>
    </row>
    <row r="296" spans="1:9" x14ac:dyDescent="0.2">
      <c r="A296" t="s">
        <v>26</v>
      </c>
      <c r="B296">
        <v>8.0000000000000002E-3</v>
      </c>
      <c r="C296" t="s">
        <v>27</v>
      </c>
      <c r="D296" t="s">
        <v>6</v>
      </c>
      <c r="E296" t="s">
        <v>105</v>
      </c>
      <c r="G296" t="s">
        <v>19</v>
      </c>
      <c r="H296" t="s">
        <v>20</v>
      </c>
    </row>
    <row r="297" spans="1:9" x14ac:dyDescent="0.2">
      <c r="A297" t="s">
        <v>28</v>
      </c>
      <c r="B297">
        <v>3.0000000000000001E-3</v>
      </c>
      <c r="C297" t="s">
        <v>29</v>
      </c>
      <c r="D297" t="s">
        <v>21</v>
      </c>
      <c r="E297" t="s">
        <v>105</v>
      </c>
      <c r="G297" t="s">
        <v>19</v>
      </c>
      <c r="H297" t="s">
        <v>20</v>
      </c>
    </row>
    <row r="298" spans="1:9" x14ac:dyDescent="0.2">
      <c r="A298" t="s">
        <v>24</v>
      </c>
      <c r="B298">
        <v>1.6E-2</v>
      </c>
      <c r="C298" t="s">
        <v>25</v>
      </c>
      <c r="D298" t="s">
        <v>6</v>
      </c>
      <c r="E298" t="s">
        <v>105</v>
      </c>
      <c r="G298" t="s">
        <v>19</v>
      </c>
      <c r="H298" t="s">
        <v>20</v>
      </c>
    </row>
    <row r="299" spans="1:9" x14ac:dyDescent="0.2">
      <c r="A299" t="s">
        <v>30</v>
      </c>
      <c r="B299">
        <v>1.2E-2</v>
      </c>
      <c r="C299" t="s">
        <v>31</v>
      </c>
      <c r="D299" t="s">
        <v>6</v>
      </c>
      <c r="E299" t="s">
        <v>105</v>
      </c>
      <c r="G299" t="s">
        <v>19</v>
      </c>
      <c r="H299" t="s">
        <v>20</v>
      </c>
    </row>
    <row r="300" spans="1:9" x14ac:dyDescent="0.2">
      <c r="A300" t="s">
        <v>32</v>
      </c>
      <c r="B300">
        <v>0.16</v>
      </c>
      <c r="C300" t="s">
        <v>33</v>
      </c>
      <c r="D300" t="s">
        <v>6</v>
      </c>
      <c r="E300" t="s">
        <v>105</v>
      </c>
      <c r="G300" t="s">
        <v>19</v>
      </c>
      <c r="H300" t="s">
        <v>20</v>
      </c>
    </row>
    <row r="301" spans="1:9" x14ac:dyDescent="0.2">
      <c r="A301" t="s">
        <v>34</v>
      </c>
      <c r="B301">
        <v>133</v>
      </c>
      <c r="C301" t="s">
        <v>35</v>
      </c>
      <c r="D301" t="s">
        <v>6</v>
      </c>
      <c r="E301" t="s">
        <v>105</v>
      </c>
      <c r="G301" t="s">
        <v>19</v>
      </c>
      <c r="H301" t="s">
        <v>20</v>
      </c>
    </row>
    <row r="302" spans="1:9" x14ac:dyDescent="0.2">
      <c r="A302" t="s">
        <v>36</v>
      </c>
      <c r="B302">
        <v>-0.1197</v>
      </c>
      <c r="C302" t="s">
        <v>37</v>
      </c>
      <c r="D302" t="s">
        <v>21</v>
      </c>
      <c r="E302" t="s">
        <v>106</v>
      </c>
      <c r="G302" t="s">
        <v>19</v>
      </c>
      <c r="H302" t="s">
        <v>20</v>
      </c>
    </row>
    <row r="303" spans="1:9" x14ac:dyDescent="0.2">
      <c r="A303" t="s">
        <v>39</v>
      </c>
      <c r="B303">
        <v>1.3299999999999999E-2</v>
      </c>
      <c r="D303" t="s">
        <v>6</v>
      </c>
      <c r="E303" t="s">
        <v>106</v>
      </c>
      <c r="F303" t="s">
        <v>40</v>
      </c>
      <c r="G303" t="s">
        <v>41</v>
      </c>
      <c r="H303" t="s">
        <v>42</v>
      </c>
    </row>
    <row r="305" spans="1:9" x14ac:dyDescent="0.2">
      <c r="A305" t="s">
        <v>1</v>
      </c>
      <c r="B305" t="s">
        <v>127</v>
      </c>
    </row>
    <row r="306" spans="1:9" x14ac:dyDescent="0.2">
      <c r="A306" t="s">
        <v>2</v>
      </c>
      <c r="B306">
        <v>1</v>
      </c>
    </row>
    <row r="307" spans="1:9" x14ac:dyDescent="0.2">
      <c r="A307" t="s">
        <v>3</v>
      </c>
      <c r="B307" t="s">
        <v>123</v>
      </c>
    </row>
    <row r="308" spans="1:9" x14ac:dyDescent="0.2">
      <c r="A308" t="s">
        <v>4</v>
      </c>
      <c r="B308" t="s">
        <v>128</v>
      </c>
    </row>
    <row r="309" spans="1:9" x14ac:dyDescent="0.2">
      <c r="A309" t="s">
        <v>5</v>
      </c>
      <c r="B309" t="s">
        <v>6</v>
      </c>
    </row>
    <row r="310" spans="1:9" x14ac:dyDescent="0.2">
      <c r="A310" t="s">
        <v>7</v>
      </c>
      <c r="B310" t="s">
        <v>8</v>
      </c>
    </row>
    <row r="311" spans="1:9" x14ac:dyDescent="0.2">
      <c r="A311" t="s">
        <v>9</v>
      </c>
    </row>
    <row r="312" spans="1:9" x14ac:dyDescent="0.2">
      <c r="A312" t="s">
        <v>10</v>
      </c>
      <c r="B312" t="s">
        <v>11</v>
      </c>
      <c r="C312" t="s">
        <v>4</v>
      </c>
      <c r="D312" t="s">
        <v>5</v>
      </c>
      <c r="E312" t="s">
        <v>7</v>
      </c>
      <c r="F312" t="s">
        <v>12</v>
      </c>
      <c r="G312" t="s">
        <v>13</v>
      </c>
      <c r="H312" t="s">
        <v>14</v>
      </c>
      <c r="I312" t="s">
        <v>3</v>
      </c>
    </row>
    <row r="313" spans="1:9" x14ac:dyDescent="0.2">
      <c r="A313" t="s">
        <v>127</v>
      </c>
      <c r="B313">
        <v>1</v>
      </c>
      <c r="C313" t="s">
        <v>128</v>
      </c>
      <c r="D313" t="s">
        <v>6</v>
      </c>
      <c r="E313" t="s">
        <v>8</v>
      </c>
      <c r="G313" t="s">
        <v>15</v>
      </c>
      <c r="H313" t="s">
        <v>23</v>
      </c>
    </row>
    <row r="314" spans="1:9" x14ac:dyDescent="0.2">
      <c r="A314" t="s">
        <v>16</v>
      </c>
      <c r="B314">
        <v>2.1</v>
      </c>
      <c r="C314" t="s">
        <v>17</v>
      </c>
      <c r="D314" t="s">
        <v>6</v>
      </c>
      <c r="E314" t="s">
        <v>103</v>
      </c>
      <c r="G314" t="s">
        <v>19</v>
      </c>
      <c r="H314" t="s">
        <v>20</v>
      </c>
    </row>
    <row r="315" spans="1:9" x14ac:dyDescent="0.2">
      <c r="A315" t="s">
        <v>196</v>
      </c>
      <c r="B315">
        <v>25.8</v>
      </c>
      <c r="C315" t="s">
        <v>197</v>
      </c>
      <c r="D315" t="s">
        <v>6</v>
      </c>
      <c r="E315" t="s">
        <v>104</v>
      </c>
      <c r="G315" t="s">
        <v>19</v>
      </c>
      <c r="H315" t="s">
        <v>23</v>
      </c>
    </row>
    <row r="316" spans="1:9" x14ac:dyDescent="0.2">
      <c r="A316" t="s">
        <v>74</v>
      </c>
      <c r="B316">
        <v>4.4999999999999998E-2</v>
      </c>
      <c r="C316" t="s">
        <v>75</v>
      </c>
      <c r="D316" t="s">
        <v>6</v>
      </c>
      <c r="E316" t="s">
        <v>105</v>
      </c>
      <c r="G316" t="s">
        <v>19</v>
      </c>
      <c r="H316" t="s">
        <v>23</v>
      </c>
    </row>
    <row r="317" spans="1:9" x14ac:dyDescent="0.2">
      <c r="A317" t="s">
        <v>24</v>
      </c>
      <c r="B317">
        <v>2.7E-2</v>
      </c>
      <c r="C317" t="s">
        <v>25</v>
      </c>
      <c r="D317" t="s">
        <v>6</v>
      </c>
      <c r="E317" t="s">
        <v>105</v>
      </c>
      <c r="G317" t="s">
        <v>19</v>
      </c>
      <c r="H317" t="s">
        <v>20</v>
      </c>
    </row>
    <row r="318" spans="1:9" x14ac:dyDescent="0.2">
      <c r="A318" t="s">
        <v>26</v>
      </c>
      <c r="B318">
        <v>6.0000000000000001E-3</v>
      </c>
      <c r="C318" t="s">
        <v>27</v>
      </c>
      <c r="D318" t="s">
        <v>6</v>
      </c>
      <c r="E318" t="s">
        <v>105</v>
      </c>
      <c r="G318" t="s">
        <v>19</v>
      </c>
      <c r="H318" t="s">
        <v>20</v>
      </c>
    </row>
    <row r="319" spans="1:9" x14ac:dyDescent="0.2">
      <c r="A319" t="s">
        <v>28</v>
      </c>
      <c r="B319">
        <v>2E-3</v>
      </c>
      <c r="C319" t="s">
        <v>29</v>
      </c>
      <c r="D319" t="s">
        <v>21</v>
      </c>
      <c r="E319" t="s">
        <v>105</v>
      </c>
      <c r="G319" t="s">
        <v>19</v>
      </c>
      <c r="H319" t="s">
        <v>20</v>
      </c>
    </row>
    <row r="320" spans="1:9" x14ac:dyDescent="0.2">
      <c r="A320" t="s">
        <v>24</v>
      </c>
      <c r="B320">
        <v>1.2E-2</v>
      </c>
      <c r="C320" t="s">
        <v>25</v>
      </c>
      <c r="D320" t="s">
        <v>6</v>
      </c>
      <c r="E320" t="s">
        <v>105</v>
      </c>
      <c r="G320" t="s">
        <v>19</v>
      </c>
      <c r="H320" t="s">
        <v>20</v>
      </c>
    </row>
    <row r="321" spans="1:9" x14ac:dyDescent="0.2">
      <c r="A321" t="s">
        <v>30</v>
      </c>
      <c r="B321">
        <v>8.9999999999999993E-3</v>
      </c>
      <c r="C321" t="s">
        <v>31</v>
      </c>
      <c r="D321" t="s">
        <v>6</v>
      </c>
      <c r="E321" t="s">
        <v>105</v>
      </c>
      <c r="G321" t="s">
        <v>19</v>
      </c>
      <c r="H321" t="s">
        <v>20</v>
      </c>
    </row>
    <row r="322" spans="1:9" x14ac:dyDescent="0.2">
      <c r="A322" t="s">
        <v>32</v>
      </c>
      <c r="B322">
        <v>0.12</v>
      </c>
      <c r="C322" t="s">
        <v>33</v>
      </c>
      <c r="D322" t="s">
        <v>6</v>
      </c>
      <c r="E322" t="s">
        <v>105</v>
      </c>
      <c r="G322" t="s">
        <v>19</v>
      </c>
      <c r="H322" t="s">
        <v>20</v>
      </c>
    </row>
    <row r="323" spans="1:9" x14ac:dyDescent="0.2">
      <c r="A323" t="s">
        <v>34</v>
      </c>
      <c r="B323">
        <v>100</v>
      </c>
      <c r="C323" t="s">
        <v>35</v>
      </c>
      <c r="D323" t="s">
        <v>6</v>
      </c>
      <c r="E323" t="s">
        <v>105</v>
      </c>
      <c r="G323" t="s">
        <v>19</v>
      </c>
      <c r="H323" t="s">
        <v>20</v>
      </c>
    </row>
    <row r="324" spans="1:9" x14ac:dyDescent="0.2">
      <c r="A324" t="s">
        <v>36</v>
      </c>
      <c r="B324">
        <v>-0.09</v>
      </c>
      <c r="C324" t="s">
        <v>37</v>
      </c>
      <c r="D324" t="s">
        <v>21</v>
      </c>
      <c r="E324" t="s">
        <v>106</v>
      </c>
      <c r="G324" t="s">
        <v>19</v>
      </c>
      <c r="H324" t="s">
        <v>20</v>
      </c>
    </row>
    <row r="325" spans="1:9" x14ac:dyDescent="0.2">
      <c r="A325" t="s">
        <v>39</v>
      </c>
      <c r="B325">
        <v>0.01</v>
      </c>
      <c r="D325" t="s">
        <v>6</v>
      </c>
      <c r="E325" t="s">
        <v>106</v>
      </c>
      <c r="F325" t="s">
        <v>40</v>
      </c>
      <c r="G325" t="s">
        <v>41</v>
      </c>
      <c r="H325" t="s">
        <v>42</v>
      </c>
    </row>
    <row r="327" spans="1:9" x14ac:dyDescent="0.2">
      <c r="A327" t="s">
        <v>1</v>
      </c>
      <c r="B327" t="s">
        <v>129</v>
      </c>
    </row>
    <row r="328" spans="1:9" x14ac:dyDescent="0.2">
      <c r="A328" t="s">
        <v>2</v>
      </c>
      <c r="B328">
        <v>1</v>
      </c>
    </row>
    <row r="329" spans="1:9" x14ac:dyDescent="0.2">
      <c r="A329" t="s">
        <v>3</v>
      </c>
      <c r="B329" t="s">
        <v>123</v>
      </c>
    </row>
    <row r="330" spans="1:9" x14ac:dyDescent="0.2">
      <c r="A330" t="s">
        <v>4</v>
      </c>
      <c r="B330" t="s">
        <v>130</v>
      </c>
    </row>
    <row r="331" spans="1:9" x14ac:dyDescent="0.2">
      <c r="A331" t="s">
        <v>5</v>
      </c>
      <c r="B331" t="s">
        <v>6</v>
      </c>
    </row>
    <row r="332" spans="1:9" x14ac:dyDescent="0.2">
      <c r="A332" t="s">
        <v>7</v>
      </c>
      <c r="B332" t="s">
        <v>8</v>
      </c>
    </row>
    <row r="333" spans="1:9" x14ac:dyDescent="0.2">
      <c r="A333" t="s">
        <v>9</v>
      </c>
    </row>
    <row r="334" spans="1:9" x14ac:dyDescent="0.2">
      <c r="A334" t="s">
        <v>10</v>
      </c>
      <c r="B334" t="s">
        <v>11</v>
      </c>
      <c r="C334" t="s">
        <v>4</v>
      </c>
      <c r="D334" t="s">
        <v>5</v>
      </c>
      <c r="E334" t="s">
        <v>7</v>
      </c>
      <c r="F334" t="s">
        <v>12</v>
      </c>
      <c r="G334" t="s">
        <v>13</v>
      </c>
      <c r="H334" t="s">
        <v>14</v>
      </c>
      <c r="I334" t="s">
        <v>3</v>
      </c>
    </row>
    <row r="335" spans="1:9" x14ac:dyDescent="0.2">
      <c r="A335" t="s">
        <v>129</v>
      </c>
      <c r="B335">
        <v>1</v>
      </c>
      <c r="C335" t="s">
        <v>130</v>
      </c>
      <c r="D335" t="s">
        <v>6</v>
      </c>
      <c r="E335" t="s">
        <v>8</v>
      </c>
      <c r="G335" t="s">
        <v>15</v>
      </c>
      <c r="H335" t="s">
        <v>23</v>
      </c>
    </row>
    <row r="336" spans="1:9" x14ac:dyDescent="0.2">
      <c r="A336" t="s">
        <v>16</v>
      </c>
      <c r="B336">
        <v>2.1</v>
      </c>
      <c r="C336" t="s">
        <v>17</v>
      </c>
      <c r="D336" t="s">
        <v>6</v>
      </c>
      <c r="E336" t="s">
        <v>103</v>
      </c>
      <c r="G336" t="s">
        <v>19</v>
      </c>
      <c r="H336" t="s">
        <v>20</v>
      </c>
    </row>
    <row r="337" spans="1:8" x14ac:dyDescent="0.2">
      <c r="A337" t="s">
        <v>196</v>
      </c>
      <c r="B337">
        <v>24.8</v>
      </c>
      <c r="C337" t="s">
        <v>197</v>
      </c>
      <c r="D337" t="s">
        <v>6</v>
      </c>
      <c r="E337" t="s">
        <v>104</v>
      </c>
      <c r="G337" t="s">
        <v>19</v>
      </c>
      <c r="H337" t="s">
        <v>23</v>
      </c>
    </row>
    <row r="338" spans="1:8" x14ac:dyDescent="0.2">
      <c r="A338" t="s">
        <v>90</v>
      </c>
      <c r="B338">
        <v>0.05</v>
      </c>
      <c r="C338" t="s">
        <v>91</v>
      </c>
      <c r="D338" t="s">
        <v>6</v>
      </c>
      <c r="E338" t="s">
        <v>105</v>
      </c>
      <c r="G338" t="s">
        <v>19</v>
      </c>
      <c r="H338" t="s">
        <v>23</v>
      </c>
    </row>
    <row r="339" spans="1:8" x14ac:dyDescent="0.2">
      <c r="A339" t="s">
        <v>24</v>
      </c>
      <c r="B339">
        <v>4.4999999999999998E-2</v>
      </c>
      <c r="C339" t="s">
        <v>25</v>
      </c>
      <c r="D339" t="s">
        <v>6</v>
      </c>
      <c r="E339" t="s">
        <v>105</v>
      </c>
      <c r="G339" t="s">
        <v>19</v>
      </c>
      <c r="H339" t="s">
        <v>20</v>
      </c>
    </row>
    <row r="340" spans="1:8" x14ac:dyDescent="0.2">
      <c r="A340" t="s">
        <v>26</v>
      </c>
      <c r="B340">
        <v>1.4999999999999999E-2</v>
      </c>
      <c r="C340" t="s">
        <v>27</v>
      </c>
      <c r="D340" t="s">
        <v>6</v>
      </c>
      <c r="E340" t="s">
        <v>105</v>
      </c>
      <c r="G340" t="s">
        <v>19</v>
      </c>
      <c r="H340" t="s">
        <v>20</v>
      </c>
    </row>
    <row r="341" spans="1:8" x14ac:dyDescent="0.2">
      <c r="A341" t="s">
        <v>43</v>
      </c>
      <c r="B341">
        <v>0.5</v>
      </c>
      <c r="C341" t="s">
        <v>44</v>
      </c>
      <c r="D341" t="s">
        <v>21</v>
      </c>
      <c r="E341" t="s">
        <v>105</v>
      </c>
      <c r="G341" t="s">
        <v>19</v>
      </c>
      <c r="H341" t="s">
        <v>20</v>
      </c>
    </row>
    <row r="342" spans="1:8" x14ac:dyDescent="0.2">
      <c r="A342" t="s">
        <v>24</v>
      </c>
      <c r="B342">
        <v>0.01</v>
      </c>
      <c r="C342" t="s">
        <v>25</v>
      </c>
      <c r="D342" t="s">
        <v>6</v>
      </c>
      <c r="E342" t="s">
        <v>105</v>
      </c>
      <c r="G342" t="s">
        <v>19</v>
      </c>
      <c r="H342" t="s">
        <v>20</v>
      </c>
    </row>
    <row r="343" spans="1:8" x14ac:dyDescent="0.2">
      <c r="A343" t="s">
        <v>24</v>
      </c>
      <c r="B343">
        <v>0.03</v>
      </c>
      <c r="C343" t="s">
        <v>25</v>
      </c>
      <c r="D343" t="s">
        <v>6</v>
      </c>
      <c r="E343" t="s">
        <v>105</v>
      </c>
      <c r="G343" t="s">
        <v>19</v>
      </c>
      <c r="H343" t="s">
        <v>20</v>
      </c>
    </row>
    <row r="344" spans="1:8" x14ac:dyDescent="0.2">
      <c r="A344" t="s">
        <v>32</v>
      </c>
      <c r="B344">
        <v>0.2</v>
      </c>
      <c r="C344" t="s">
        <v>33</v>
      </c>
      <c r="D344" t="s">
        <v>6</v>
      </c>
      <c r="E344" t="s">
        <v>105</v>
      </c>
      <c r="G344" t="s">
        <v>19</v>
      </c>
      <c r="H344" t="s">
        <v>20</v>
      </c>
    </row>
    <row r="345" spans="1:8" x14ac:dyDescent="0.2">
      <c r="A345" t="s">
        <v>34</v>
      </c>
      <c r="B345">
        <v>150</v>
      </c>
      <c r="C345" t="s">
        <v>35</v>
      </c>
      <c r="D345" t="s">
        <v>6</v>
      </c>
      <c r="E345" t="s">
        <v>105</v>
      </c>
      <c r="G345" t="s">
        <v>19</v>
      </c>
      <c r="H345" t="s">
        <v>20</v>
      </c>
    </row>
    <row r="346" spans="1:8" x14ac:dyDescent="0.2">
      <c r="A346" t="s">
        <v>36</v>
      </c>
      <c r="B346">
        <v>-0.13500000000000001</v>
      </c>
      <c r="C346" t="s">
        <v>37</v>
      </c>
      <c r="D346" t="s">
        <v>21</v>
      </c>
      <c r="E346" t="s">
        <v>106</v>
      </c>
      <c r="G346" t="s">
        <v>19</v>
      </c>
      <c r="H346" t="s">
        <v>20</v>
      </c>
    </row>
    <row r="347" spans="1:8" x14ac:dyDescent="0.2">
      <c r="A347" t="s">
        <v>39</v>
      </c>
      <c r="B347">
        <v>1.4999999999999999E-2</v>
      </c>
      <c r="D347" t="s">
        <v>6</v>
      </c>
      <c r="E347" t="s">
        <v>106</v>
      </c>
      <c r="F347" t="s">
        <v>40</v>
      </c>
      <c r="G347" t="s">
        <v>41</v>
      </c>
      <c r="H347" t="s">
        <v>42</v>
      </c>
    </row>
    <row r="349" spans="1:8" x14ac:dyDescent="0.2">
      <c r="A349" t="s">
        <v>1</v>
      </c>
      <c r="B349" t="s">
        <v>131</v>
      </c>
    </row>
    <row r="350" spans="1:8" x14ac:dyDescent="0.2">
      <c r="A350" t="s">
        <v>2</v>
      </c>
      <c r="B350">
        <v>1</v>
      </c>
    </row>
    <row r="351" spans="1:8" x14ac:dyDescent="0.2">
      <c r="A351" t="s">
        <v>3</v>
      </c>
      <c r="B351" t="s">
        <v>132</v>
      </c>
    </row>
    <row r="352" spans="1:8" x14ac:dyDescent="0.2">
      <c r="A352" t="s">
        <v>4</v>
      </c>
      <c r="B352" t="s">
        <v>133</v>
      </c>
    </row>
    <row r="353" spans="1:9" x14ac:dyDescent="0.2">
      <c r="A353" t="s">
        <v>5</v>
      </c>
      <c r="B353" t="s">
        <v>6</v>
      </c>
    </row>
    <row r="354" spans="1:9" x14ac:dyDescent="0.2">
      <c r="A354" t="s">
        <v>7</v>
      </c>
      <c r="B354" t="s">
        <v>8</v>
      </c>
    </row>
    <row r="355" spans="1:9" x14ac:dyDescent="0.2">
      <c r="A355" t="s">
        <v>9</v>
      </c>
    </row>
    <row r="356" spans="1:9" x14ac:dyDescent="0.2">
      <c r="A356" t="s">
        <v>10</v>
      </c>
      <c r="B356" t="s">
        <v>11</v>
      </c>
      <c r="C356" t="s">
        <v>4</v>
      </c>
      <c r="D356" t="s">
        <v>5</v>
      </c>
      <c r="E356" t="s">
        <v>7</v>
      </c>
      <c r="F356" t="s">
        <v>12</v>
      </c>
      <c r="G356" t="s">
        <v>13</v>
      </c>
      <c r="H356" t="s">
        <v>14</v>
      </c>
      <c r="I356" t="s">
        <v>3</v>
      </c>
    </row>
    <row r="357" spans="1:9" x14ac:dyDescent="0.2">
      <c r="A357" t="s">
        <v>131</v>
      </c>
      <c r="B357">
        <v>1</v>
      </c>
      <c r="C357" t="s">
        <v>133</v>
      </c>
      <c r="D357" t="s">
        <v>6</v>
      </c>
      <c r="E357" t="s">
        <v>8</v>
      </c>
      <c r="G357" t="s">
        <v>15</v>
      </c>
      <c r="H357" t="s">
        <v>23</v>
      </c>
    </row>
    <row r="358" spans="1:9" x14ac:dyDescent="0.2">
      <c r="A358" t="s">
        <v>16</v>
      </c>
      <c r="B358">
        <v>1.8</v>
      </c>
      <c r="C358" t="s">
        <v>17</v>
      </c>
      <c r="D358" t="s">
        <v>6</v>
      </c>
      <c r="E358" t="s">
        <v>103</v>
      </c>
      <c r="G358" t="s">
        <v>19</v>
      </c>
      <c r="H358" t="s">
        <v>20</v>
      </c>
    </row>
    <row r="359" spans="1:9" x14ac:dyDescent="0.2">
      <c r="A359" t="s">
        <v>196</v>
      </c>
      <c r="B359">
        <v>33.299999999999997</v>
      </c>
      <c r="C359" t="s">
        <v>197</v>
      </c>
      <c r="D359" t="s">
        <v>6</v>
      </c>
      <c r="E359" t="s">
        <v>104</v>
      </c>
      <c r="G359" t="s">
        <v>19</v>
      </c>
      <c r="H359" t="s">
        <v>23</v>
      </c>
    </row>
    <row r="360" spans="1:9" x14ac:dyDescent="0.2">
      <c r="A360" t="s">
        <v>77</v>
      </c>
      <c r="B360">
        <v>2.5000000000000001E-2</v>
      </c>
      <c r="C360" t="s">
        <v>76</v>
      </c>
      <c r="D360" t="s">
        <v>6</v>
      </c>
      <c r="E360" t="s">
        <v>105</v>
      </c>
      <c r="G360" t="s">
        <v>19</v>
      </c>
      <c r="H360" t="s">
        <v>23</v>
      </c>
    </row>
    <row r="361" spans="1:9" x14ac:dyDescent="0.2">
      <c r="A361" t="s">
        <v>24</v>
      </c>
      <c r="B361">
        <v>0.04</v>
      </c>
      <c r="C361" t="s">
        <v>25</v>
      </c>
      <c r="D361" t="s">
        <v>6</v>
      </c>
      <c r="E361" t="s">
        <v>105</v>
      </c>
      <c r="G361" t="s">
        <v>19</v>
      </c>
      <c r="H361" t="s">
        <v>20</v>
      </c>
    </row>
    <row r="362" spans="1:9" x14ac:dyDescent="0.2">
      <c r="A362" t="s">
        <v>26</v>
      </c>
      <c r="B362">
        <v>3.7999999999999999E-2</v>
      </c>
      <c r="C362" t="s">
        <v>27</v>
      </c>
      <c r="D362" t="s">
        <v>6</v>
      </c>
      <c r="E362" t="s">
        <v>105</v>
      </c>
      <c r="G362" t="s">
        <v>19</v>
      </c>
      <c r="H362" t="s">
        <v>20</v>
      </c>
    </row>
    <row r="363" spans="1:9" x14ac:dyDescent="0.2">
      <c r="A363" t="s">
        <v>45</v>
      </c>
      <c r="B363">
        <v>0.2</v>
      </c>
      <c r="C363" t="s">
        <v>46</v>
      </c>
      <c r="D363" t="s">
        <v>21</v>
      </c>
      <c r="E363" t="s">
        <v>105</v>
      </c>
      <c r="G363" t="s">
        <v>19</v>
      </c>
      <c r="H363" t="s">
        <v>20</v>
      </c>
    </row>
    <row r="364" spans="1:9" x14ac:dyDescent="0.2">
      <c r="A364" t="s">
        <v>24</v>
      </c>
      <c r="B364">
        <v>0.01</v>
      </c>
      <c r="C364" t="s">
        <v>25</v>
      </c>
      <c r="D364" t="s">
        <v>6</v>
      </c>
      <c r="E364" t="s">
        <v>105</v>
      </c>
      <c r="G364" t="s">
        <v>19</v>
      </c>
      <c r="H364" t="s">
        <v>20</v>
      </c>
    </row>
    <row r="365" spans="1:9" x14ac:dyDescent="0.2">
      <c r="A365" t="s">
        <v>47</v>
      </c>
      <c r="B365">
        <v>0.01</v>
      </c>
      <c r="C365" t="s">
        <v>48</v>
      </c>
      <c r="D365" t="s">
        <v>21</v>
      </c>
      <c r="E365" t="s">
        <v>105</v>
      </c>
      <c r="G365" t="s">
        <v>19</v>
      </c>
      <c r="H365" t="s">
        <v>20</v>
      </c>
    </row>
    <row r="366" spans="1:9" x14ac:dyDescent="0.2">
      <c r="A366" t="s">
        <v>32</v>
      </c>
      <c r="B366">
        <v>0.04</v>
      </c>
      <c r="C366" t="s">
        <v>33</v>
      </c>
      <c r="D366" t="s">
        <v>6</v>
      </c>
      <c r="E366" t="s">
        <v>105</v>
      </c>
      <c r="G366" t="s">
        <v>19</v>
      </c>
      <c r="H366" t="s">
        <v>20</v>
      </c>
    </row>
    <row r="367" spans="1:9" x14ac:dyDescent="0.2">
      <c r="A367" t="s">
        <v>34</v>
      </c>
      <c r="B367">
        <v>109</v>
      </c>
      <c r="C367" t="s">
        <v>35</v>
      </c>
      <c r="D367" t="s">
        <v>6</v>
      </c>
      <c r="E367" t="s">
        <v>105</v>
      </c>
      <c r="G367" t="s">
        <v>19</v>
      </c>
      <c r="H367" t="s">
        <v>20</v>
      </c>
    </row>
    <row r="368" spans="1:9" x14ac:dyDescent="0.2">
      <c r="A368" t="s">
        <v>36</v>
      </c>
      <c r="B368">
        <v>-9.8100000000000007E-2</v>
      </c>
      <c r="C368" t="s">
        <v>37</v>
      </c>
      <c r="D368" t="s">
        <v>21</v>
      </c>
      <c r="E368" t="s">
        <v>106</v>
      </c>
      <c r="G368" t="s">
        <v>19</v>
      </c>
      <c r="H368" t="s">
        <v>20</v>
      </c>
    </row>
    <row r="369" spans="1:9" x14ac:dyDescent="0.2">
      <c r="A369" t="s">
        <v>39</v>
      </c>
      <c r="B369">
        <v>1.09E-2</v>
      </c>
      <c r="D369" t="s">
        <v>6</v>
      </c>
      <c r="E369" t="s">
        <v>106</v>
      </c>
      <c r="F369" t="s">
        <v>40</v>
      </c>
      <c r="G369" t="s">
        <v>41</v>
      </c>
      <c r="H369" t="s">
        <v>42</v>
      </c>
    </row>
    <row r="371" spans="1:9" x14ac:dyDescent="0.2">
      <c r="A371" t="s">
        <v>1</v>
      </c>
      <c r="B371" t="s">
        <v>134</v>
      </c>
    </row>
    <row r="372" spans="1:9" x14ac:dyDescent="0.2">
      <c r="A372" t="s">
        <v>2</v>
      </c>
      <c r="B372">
        <v>1</v>
      </c>
    </row>
    <row r="373" spans="1:9" x14ac:dyDescent="0.2">
      <c r="A373" t="s">
        <v>3</v>
      </c>
      <c r="B373" t="s">
        <v>132</v>
      </c>
    </row>
    <row r="374" spans="1:9" x14ac:dyDescent="0.2">
      <c r="A374" t="s">
        <v>4</v>
      </c>
      <c r="B374" t="s">
        <v>135</v>
      </c>
    </row>
    <row r="375" spans="1:9" x14ac:dyDescent="0.2">
      <c r="A375" t="s">
        <v>5</v>
      </c>
      <c r="B375" t="s">
        <v>6</v>
      </c>
    </row>
    <row r="376" spans="1:9" x14ac:dyDescent="0.2">
      <c r="A376" t="s">
        <v>7</v>
      </c>
      <c r="B376" t="s">
        <v>8</v>
      </c>
    </row>
    <row r="377" spans="1:9" x14ac:dyDescent="0.2">
      <c r="A377" t="s">
        <v>9</v>
      </c>
    </row>
    <row r="378" spans="1:9" x14ac:dyDescent="0.2">
      <c r="A378" t="s">
        <v>10</v>
      </c>
      <c r="B378" t="s">
        <v>11</v>
      </c>
      <c r="C378" t="s">
        <v>4</v>
      </c>
      <c r="D378" t="s">
        <v>5</v>
      </c>
      <c r="E378" t="s">
        <v>7</v>
      </c>
      <c r="F378" t="s">
        <v>12</v>
      </c>
      <c r="G378" t="s">
        <v>13</v>
      </c>
      <c r="H378" t="s">
        <v>14</v>
      </c>
      <c r="I378" t="s">
        <v>3</v>
      </c>
    </row>
    <row r="379" spans="1:9" x14ac:dyDescent="0.2">
      <c r="A379" t="s">
        <v>134</v>
      </c>
      <c r="B379">
        <v>1</v>
      </c>
      <c r="C379" t="s">
        <v>135</v>
      </c>
      <c r="D379" t="s">
        <v>6</v>
      </c>
      <c r="E379" t="s">
        <v>8</v>
      </c>
      <c r="G379" t="s">
        <v>15</v>
      </c>
      <c r="H379" t="s">
        <v>23</v>
      </c>
    </row>
    <row r="380" spans="1:9" x14ac:dyDescent="0.2">
      <c r="A380" t="s">
        <v>16</v>
      </c>
      <c r="B380">
        <v>1.1000000000000001</v>
      </c>
      <c r="C380" t="s">
        <v>17</v>
      </c>
      <c r="D380" t="s">
        <v>6</v>
      </c>
      <c r="E380" t="s">
        <v>103</v>
      </c>
      <c r="G380" t="s">
        <v>19</v>
      </c>
      <c r="H380" t="s">
        <v>20</v>
      </c>
    </row>
    <row r="381" spans="1:9" x14ac:dyDescent="0.2">
      <c r="A381" t="s">
        <v>196</v>
      </c>
      <c r="B381">
        <v>19.3</v>
      </c>
      <c r="C381" t="s">
        <v>197</v>
      </c>
      <c r="D381" t="s">
        <v>6</v>
      </c>
      <c r="E381" t="s">
        <v>104</v>
      </c>
      <c r="G381" t="s">
        <v>19</v>
      </c>
      <c r="H381" t="s">
        <v>23</v>
      </c>
    </row>
    <row r="382" spans="1:9" x14ac:dyDescent="0.2">
      <c r="A382" t="s">
        <v>77</v>
      </c>
      <c r="B382">
        <v>2.3E-2</v>
      </c>
      <c r="C382" t="s">
        <v>76</v>
      </c>
      <c r="D382" t="s">
        <v>6</v>
      </c>
      <c r="E382" t="s">
        <v>105</v>
      </c>
      <c r="G382" t="s">
        <v>19</v>
      </c>
      <c r="H382" t="s">
        <v>23</v>
      </c>
    </row>
    <row r="383" spans="1:9" x14ac:dyDescent="0.2">
      <c r="A383" t="s">
        <v>24</v>
      </c>
      <c r="B383">
        <v>3.5999999999999997E-2</v>
      </c>
      <c r="C383" t="s">
        <v>25</v>
      </c>
      <c r="D383" t="s">
        <v>6</v>
      </c>
      <c r="E383" t="s">
        <v>105</v>
      </c>
      <c r="G383" t="s">
        <v>19</v>
      </c>
      <c r="H383" t="s">
        <v>20</v>
      </c>
    </row>
    <row r="384" spans="1:9" x14ac:dyDescent="0.2">
      <c r="A384" t="s">
        <v>26</v>
      </c>
      <c r="B384">
        <v>3.4000000000000002E-2</v>
      </c>
      <c r="C384" t="s">
        <v>27</v>
      </c>
      <c r="D384" t="s">
        <v>6</v>
      </c>
      <c r="E384" t="s">
        <v>105</v>
      </c>
      <c r="G384" t="s">
        <v>19</v>
      </c>
      <c r="H384" t="s">
        <v>20</v>
      </c>
    </row>
    <row r="385" spans="1:9" x14ac:dyDescent="0.2">
      <c r="A385" t="s">
        <v>45</v>
      </c>
      <c r="B385">
        <v>0.18</v>
      </c>
      <c r="C385" t="s">
        <v>46</v>
      </c>
      <c r="D385" t="s">
        <v>21</v>
      </c>
      <c r="E385" t="s">
        <v>105</v>
      </c>
      <c r="G385" t="s">
        <v>19</v>
      </c>
      <c r="H385" t="s">
        <v>20</v>
      </c>
    </row>
    <row r="386" spans="1:9" x14ac:dyDescent="0.2">
      <c r="A386" t="s">
        <v>24</v>
      </c>
      <c r="B386">
        <v>8.9999999999999993E-3</v>
      </c>
      <c r="C386" t="s">
        <v>25</v>
      </c>
      <c r="D386" t="s">
        <v>6</v>
      </c>
      <c r="E386" t="s">
        <v>105</v>
      </c>
      <c r="G386" t="s">
        <v>19</v>
      </c>
      <c r="H386" t="s">
        <v>20</v>
      </c>
    </row>
    <row r="387" spans="1:9" x14ac:dyDescent="0.2">
      <c r="A387" t="s">
        <v>47</v>
      </c>
      <c r="B387">
        <v>8.9999999999999993E-3</v>
      </c>
      <c r="C387" t="s">
        <v>48</v>
      </c>
      <c r="D387" t="s">
        <v>21</v>
      </c>
      <c r="E387" t="s">
        <v>105</v>
      </c>
      <c r="G387" t="s">
        <v>19</v>
      </c>
      <c r="H387" t="s">
        <v>20</v>
      </c>
    </row>
    <row r="388" spans="1:9" x14ac:dyDescent="0.2">
      <c r="A388" t="s">
        <v>32</v>
      </c>
      <c r="B388">
        <v>0.03</v>
      </c>
      <c r="C388" t="s">
        <v>33</v>
      </c>
      <c r="D388" t="s">
        <v>6</v>
      </c>
      <c r="E388" t="s">
        <v>105</v>
      </c>
      <c r="G388" t="s">
        <v>19</v>
      </c>
      <c r="H388" t="s">
        <v>20</v>
      </c>
    </row>
    <row r="389" spans="1:9" x14ac:dyDescent="0.2">
      <c r="A389" t="s">
        <v>34</v>
      </c>
      <c r="B389">
        <v>98</v>
      </c>
      <c r="C389" t="s">
        <v>35</v>
      </c>
      <c r="D389" t="s">
        <v>6</v>
      </c>
      <c r="E389" t="s">
        <v>105</v>
      </c>
      <c r="G389" t="s">
        <v>19</v>
      </c>
      <c r="H389" t="s">
        <v>20</v>
      </c>
    </row>
    <row r="390" spans="1:9" x14ac:dyDescent="0.2">
      <c r="A390" t="s">
        <v>36</v>
      </c>
      <c r="B390">
        <v>-8.8200000000000001E-2</v>
      </c>
      <c r="C390" t="s">
        <v>37</v>
      </c>
      <c r="D390" t="s">
        <v>21</v>
      </c>
      <c r="E390" t="s">
        <v>106</v>
      </c>
      <c r="G390" t="s">
        <v>19</v>
      </c>
      <c r="H390" t="s">
        <v>20</v>
      </c>
    </row>
    <row r="391" spans="1:9" x14ac:dyDescent="0.2">
      <c r="A391" t="s">
        <v>39</v>
      </c>
      <c r="B391">
        <v>9.7999999999999997E-3</v>
      </c>
      <c r="D391" t="s">
        <v>6</v>
      </c>
      <c r="E391" t="s">
        <v>106</v>
      </c>
      <c r="F391" t="s">
        <v>40</v>
      </c>
      <c r="G391" t="s">
        <v>41</v>
      </c>
      <c r="H391" t="s">
        <v>42</v>
      </c>
    </row>
    <row r="393" spans="1:9" x14ac:dyDescent="0.2">
      <c r="A393" t="s">
        <v>1</v>
      </c>
      <c r="B393" t="s">
        <v>136</v>
      </c>
    </row>
    <row r="394" spans="1:9" x14ac:dyDescent="0.2">
      <c r="A394" t="s">
        <v>2</v>
      </c>
      <c r="B394">
        <v>1</v>
      </c>
    </row>
    <row r="395" spans="1:9" x14ac:dyDescent="0.2">
      <c r="A395" t="s">
        <v>3</v>
      </c>
      <c r="B395" t="s">
        <v>132</v>
      </c>
    </row>
    <row r="396" spans="1:9" x14ac:dyDescent="0.2">
      <c r="A396" t="s">
        <v>4</v>
      </c>
      <c r="B396" t="s">
        <v>137</v>
      </c>
    </row>
    <row r="397" spans="1:9" x14ac:dyDescent="0.2">
      <c r="A397" t="s">
        <v>5</v>
      </c>
      <c r="B397" t="s">
        <v>6</v>
      </c>
    </row>
    <row r="398" spans="1:9" x14ac:dyDescent="0.2">
      <c r="A398" t="s">
        <v>7</v>
      </c>
      <c r="B398" t="s">
        <v>8</v>
      </c>
    </row>
    <row r="399" spans="1:9" x14ac:dyDescent="0.2">
      <c r="A399" t="s">
        <v>9</v>
      </c>
    </row>
    <row r="400" spans="1:9" x14ac:dyDescent="0.2">
      <c r="A400" t="s">
        <v>10</v>
      </c>
      <c r="B400" t="s">
        <v>11</v>
      </c>
      <c r="C400" t="s">
        <v>4</v>
      </c>
      <c r="D400" t="s">
        <v>5</v>
      </c>
      <c r="E400" t="s">
        <v>7</v>
      </c>
      <c r="F400" t="s">
        <v>12</v>
      </c>
      <c r="G400" t="s">
        <v>13</v>
      </c>
      <c r="H400" t="s">
        <v>14</v>
      </c>
      <c r="I400" t="s">
        <v>3</v>
      </c>
    </row>
    <row r="401" spans="1:8" x14ac:dyDescent="0.2">
      <c r="A401" t="s">
        <v>136</v>
      </c>
      <c r="B401">
        <v>1</v>
      </c>
      <c r="C401" t="s">
        <v>137</v>
      </c>
      <c r="D401" t="s">
        <v>6</v>
      </c>
      <c r="E401" t="s">
        <v>8</v>
      </c>
      <c r="G401" t="s">
        <v>15</v>
      </c>
      <c r="H401" t="s">
        <v>23</v>
      </c>
    </row>
    <row r="402" spans="1:8" x14ac:dyDescent="0.2">
      <c r="A402" t="s">
        <v>16</v>
      </c>
      <c r="B402">
        <v>1.2</v>
      </c>
      <c r="C402" t="s">
        <v>17</v>
      </c>
      <c r="D402" t="s">
        <v>6</v>
      </c>
      <c r="E402" t="s">
        <v>103</v>
      </c>
      <c r="G402" t="s">
        <v>19</v>
      </c>
      <c r="H402" t="s">
        <v>20</v>
      </c>
    </row>
    <row r="403" spans="1:8" x14ac:dyDescent="0.2">
      <c r="A403" t="s">
        <v>196</v>
      </c>
      <c r="B403">
        <v>30</v>
      </c>
      <c r="C403" t="s">
        <v>197</v>
      </c>
      <c r="D403" t="s">
        <v>6</v>
      </c>
      <c r="E403" t="s">
        <v>104</v>
      </c>
      <c r="G403" t="s">
        <v>19</v>
      </c>
      <c r="H403" t="s">
        <v>23</v>
      </c>
    </row>
    <row r="404" spans="1:8" x14ac:dyDescent="0.2">
      <c r="A404" t="s">
        <v>74</v>
      </c>
      <c r="B404">
        <v>0.02</v>
      </c>
      <c r="C404" t="s">
        <v>75</v>
      </c>
      <c r="D404" t="s">
        <v>6</v>
      </c>
      <c r="E404" t="s">
        <v>105</v>
      </c>
      <c r="G404" t="s">
        <v>19</v>
      </c>
      <c r="H404" t="s">
        <v>23</v>
      </c>
    </row>
    <row r="405" spans="1:8" x14ac:dyDescent="0.2">
      <c r="A405" t="s">
        <v>24</v>
      </c>
      <c r="B405">
        <v>3.2000000000000001E-2</v>
      </c>
      <c r="C405" t="s">
        <v>25</v>
      </c>
      <c r="D405" t="s">
        <v>6</v>
      </c>
      <c r="E405" t="s">
        <v>105</v>
      </c>
      <c r="G405" t="s">
        <v>19</v>
      </c>
      <c r="H405" t="s">
        <v>20</v>
      </c>
    </row>
    <row r="406" spans="1:8" x14ac:dyDescent="0.2">
      <c r="A406" t="s">
        <v>26</v>
      </c>
      <c r="B406">
        <v>0.03</v>
      </c>
      <c r="C406" t="s">
        <v>27</v>
      </c>
      <c r="D406" t="s">
        <v>6</v>
      </c>
      <c r="E406" t="s">
        <v>105</v>
      </c>
      <c r="G406" t="s">
        <v>19</v>
      </c>
      <c r="H406" t="s">
        <v>20</v>
      </c>
    </row>
    <row r="407" spans="1:8" x14ac:dyDescent="0.2">
      <c r="A407" t="s">
        <v>45</v>
      </c>
      <c r="B407">
        <v>0.16</v>
      </c>
      <c r="C407" t="s">
        <v>46</v>
      </c>
      <c r="D407" t="s">
        <v>21</v>
      </c>
      <c r="E407" t="s">
        <v>105</v>
      </c>
      <c r="G407" t="s">
        <v>19</v>
      </c>
      <c r="H407" t="s">
        <v>20</v>
      </c>
    </row>
    <row r="408" spans="1:8" x14ac:dyDescent="0.2">
      <c r="A408" t="s">
        <v>24</v>
      </c>
      <c r="B408">
        <v>8.0000000000000002E-3</v>
      </c>
      <c r="C408" t="s">
        <v>25</v>
      </c>
      <c r="D408" t="s">
        <v>6</v>
      </c>
      <c r="E408" t="s">
        <v>105</v>
      </c>
      <c r="G408" t="s">
        <v>19</v>
      </c>
      <c r="H408" t="s">
        <v>20</v>
      </c>
    </row>
    <row r="409" spans="1:8" x14ac:dyDescent="0.2">
      <c r="A409" t="s">
        <v>45</v>
      </c>
      <c r="B409">
        <v>0.02</v>
      </c>
      <c r="C409" t="s">
        <v>46</v>
      </c>
      <c r="D409" t="s">
        <v>21</v>
      </c>
      <c r="E409" t="s">
        <v>105</v>
      </c>
      <c r="G409" t="s">
        <v>19</v>
      </c>
      <c r="H409" t="s">
        <v>20</v>
      </c>
    </row>
    <row r="410" spans="1:8" x14ac:dyDescent="0.2">
      <c r="A410" t="s">
        <v>47</v>
      </c>
      <c r="B410">
        <v>8.0000000000000002E-3</v>
      </c>
      <c r="C410" t="s">
        <v>48</v>
      </c>
      <c r="D410" t="s">
        <v>21</v>
      </c>
      <c r="E410" t="s">
        <v>105</v>
      </c>
      <c r="G410" t="s">
        <v>19</v>
      </c>
      <c r="H410" t="s">
        <v>20</v>
      </c>
    </row>
    <row r="411" spans="1:8" x14ac:dyDescent="0.2">
      <c r="A411" t="s">
        <v>32</v>
      </c>
      <c r="B411">
        <v>0.03</v>
      </c>
      <c r="C411" t="s">
        <v>33</v>
      </c>
      <c r="D411" t="s">
        <v>6</v>
      </c>
      <c r="E411" t="s">
        <v>105</v>
      </c>
      <c r="G411" t="s">
        <v>19</v>
      </c>
      <c r="H411" t="s">
        <v>20</v>
      </c>
    </row>
    <row r="412" spans="1:8" x14ac:dyDescent="0.2">
      <c r="A412" t="s">
        <v>34</v>
      </c>
      <c r="B412">
        <v>87</v>
      </c>
      <c r="C412" t="s">
        <v>35</v>
      </c>
      <c r="D412" t="s">
        <v>6</v>
      </c>
      <c r="E412" t="s">
        <v>105</v>
      </c>
      <c r="G412" t="s">
        <v>19</v>
      </c>
      <c r="H412" t="s">
        <v>20</v>
      </c>
    </row>
    <row r="413" spans="1:8" x14ac:dyDescent="0.2">
      <c r="A413" t="s">
        <v>36</v>
      </c>
      <c r="B413">
        <v>-7.8299999999999995E-2</v>
      </c>
      <c r="C413" t="s">
        <v>37</v>
      </c>
      <c r="D413" t="s">
        <v>21</v>
      </c>
      <c r="E413" t="s">
        <v>106</v>
      </c>
      <c r="G413" t="s">
        <v>19</v>
      </c>
      <c r="H413" t="s">
        <v>20</v>
      </c>
    </row>
    <row r="414" spans="1:8" x14ac:dyDescent="0.2">
      <c r="A414" t="s">
        <v>39</v>
      </c>
      <c r="B414">
        <v>8.6999999999999994E-3</v>
      </c>
      <c r="D414" t="s">
        <v>6</v>
      </c>
      <c r="E414" t="s">
        <v>106</v>
      </c>
      <c r="F414" t="s">
        <v>40</v>
      </c>
      <c r="G414" t="s">
        <v>41</v>
      </c>
      <c r="H414" t="s">
        <v>42</v>
      </c>
    </row>
    <row r="416" spans="1:8" x14ac:dyDescent="0.2">
      <c r="A416" t="s">
        <v>1</v>
      </c>
      <c r="B416" t="s">
        <v>138</v>
      </c>
    </row>
    <row r="417" spans="1:9" x14ac:dyDescent="0.2">
      <c r="A417" t="s">
        <v>2</v>
      </c>
      <c r="B417">
        <v>1</v>
      </c>
    </row>
    <row r="418" spans="1:9" x14ac:dyDescent="0.2">
      <c r="A418" t="s">
        <v>3</v>
      </c>
      <c r="B418" t="s">
        <v>132</v>
      </c>
    </row>
    <row r="419" spans="1:9" x14ac:dyDescent="0.2">
      <c r="A419" t="s">
        <v>4</v>
      </c>
      <c r="B419" t="s">
        <v>139</v>
      </c>
    </row>
    <row r="420" spans="1:9" x14ac:dyDescent="0.2">
      <c r="A420" t="s">
        <v>5</v>
      </c>
      <c r="B420" t="s">
        <v>6</v>
      </c>
    </row>
    <row r="421" spans="1:9" x14ac:dyDescent="0.2">
      <c r="A421" t="s">
        <v>7</v>
      </c>
      <c r="B421" t="s">
        <v>8</v>
      </c>
    </row>
    <row r="422" spans="1:9" x14ac:dyDescent="0.2">
      <c r="A422" t="s">
        <v>9</v>
      </c>
    </row>
    <row r="423" spans="1:9" x14ac:dyDescent="0.2">
      <c r="A423" t="s">
        <v>10</v>
      </c>
      <c r="B423" t="s">
        <v>11</v>
      </c>
      <c r="C423" t="s">
        <v>4</v>
      </c>
      <c r="D423" t="s">
        <v>5</v>
      </c>
      <c r="E423" t="s">
        <v>7</v>
      </c>
      <c r="F423" t="s">
        <v>12</v>
      </c>
      <c r="G423" t="s">
        <v>13</v>
      </c>
      <c r="H423" t="s">
        <v>14</v>
      </c>
      <c r="I423" t="s">
        <v>3</v>
      </c>
    </row>
    <row r="424" spans="1:9" x14ac:dyDescent="0.2">
      <c r="A424" t="s">
        <v>138</v>
      </c>
      <c r="B424">
        <v>1</v>
      </c>
      <c r="C424" t="s">
        <v>139</v>
      </c>
      <c r="D424" t="s">
        <v>6</v>
      </c>
      <c r="E424" t="s">
        <v>8</v>
      </c>
      <c r="G424" t="s">
        <v>15</v>
      </c>
      <c r="H424" t="s">
        <v>23</v>
      </c>
    </row>
    <row r="425" spans="1:9" x14ac:dyDescent="0.2">
      <c r="A425" t="s">
        <v>16</v>
      </c>
      <c r="B425">
        <v>1.1000000000000001</v>
      </c>
      <c r="C425" t="s">
        <v>17</v>
      </c>
      <c r="D425" t="s">
        <v>6</v>
      </c>
      <c r="E425" t="s">
        <v>103</v>
      </c>
      <c r="G425" t="s">
        <v>19</v>
      </c>
      <c r="H425" t="s">
        <v>20</v>
      </c>
    </row>
    <row r="426" spans="1:9" x14ac:dyDescent="0.2">
      <c r="A426" t="s">
        <v>196</v>
      </c>
      <c r="B426">
        <v>28.8</v>
      </c>
      <c r="C426" t="s">
        <v>197</v>
      </c>
      <c r="D426" t="s">
        <v>6</v>
      </c>
      <c r="E426" t="s">
        <v>104</v>
      </c>
      <c r="G426" t="s">
        <v>19</v>
      </c>
      <c r="H426" t="s">
        <v>23</v>
      </c>
    </row>
    <row r="427" spans="1:9" x14ac:dyDescent="0.2">
      <c r="A427" t="s">
        <v>90</v>
      </c>
      <c r="B427">
        <v>2.5000000000000001E-2</v>
      </c>
      <c r="C427" t="s">
        <v>91</v>
      </c>
      <c r="D427" t="s">
        <v>6</v>
      </c>
      <c r="E427" t="s">
        <v>105</v>
      </c>
      <c r="G427" t="s">
        <v>19</v>
      </c>
      <c r="H427" t="s">
        <v>23</v>
      </c>
    </row>
    <row r="428" spans="1:9" x14ac:dyDescent="0.2">
      <c r="A428" t="s">
        <v>24</v>
      </c>
      <c r="B428">
        <v>0.04</v>
      </c>
      <c r="C428" t="s">
        <v>25</v>
      </c>
      <c r="D428" t="s">
        <v>6</v>
      </c>
      <c r="E428" t="s">
        <v>105</v>
      </c>
      <c r="G428" t="s">
        <v>19</v>
      </c>
      <c r="H428" t="s">
        <v>20</v>
      </c>
    </row>
    <row r="429" spans="1:9" x14ac:dyDescent="0.2">
      <c r="A429" t="s">
        <v>26</v>
      </c>
      <c r="B429">
        <v>3.7999999999999999E-2</v>
      </c>
      <c r="C429" t="s">
        <v>27</v>
      </c>
      <c r="D429" t="s">
        <v>6</v>
      </c>
      <c r="E429" t="s">
        <v>105</v>
      </c>
      <c r="G429" t="s">
        <v>19</v>
      </c>
      <c r="H429" t="s">
        <v>20</v>
      </c>
    </row>
    <row r="430" spans="1:9" x14ac:dyDescent="0.2">
      <c r="A430" t="s">
        <v>45</v>
      </c>
      <c r="B430">
        <v>0.2</v>
      </c>
      <c r="C430" t="s">
        <v>46</v>
      </c>
      <c r="D430" t="s">
        <v>21</v>
      </c>
      <c r="E430" t="s">
        <v>105</v>
      </c>
      <c r="G430" t="s">
        <v>19</v>
      </c>
      <c r="H430" t="s">
        <v>20</v>
      </c>
    </row>
    <row r="431" spans="1:9" x14ac:dyDescent="0.2">
      <c r="A431" t="s">
        <v>24</v>
      </c>
      <c r="B431">
        <v>0.01</v>
      </c>
      <c r="C431" t="s">
        <v>25</v>
      </c>
      <c r="D431" t="s">
        <v>6</v>
      </c>
      <c r="E431" t="s">
        <v>105</v>
      </c>
      <c r="G431" t="s">
        <v>19</v>
      </c>
      <c r="H431" t="s">
        <v>20</v>
      </c>
    </row>
    <row r="432" spans="1:9" x14ac:dyDescent="0.2">
      <c r="A432" t="s">
        <v>47</v>
      </c>
      <c r="B432">
        <v>0.01</v>
      </c>
      <c r="C432" t="s">
        <v>48</v>
      </c>
      <c r="D432" t="s">
        <v>21</v>
      </c>
      <c r="E432" t="s">
        <v>105</v>
      </c>
      <c r="G432" t="s">
        <v>19</v>
      </c>
      <c r="H432" t="s">
        <v>20</v>
      </c>
    </row>
    <row r="433" spans="1:9" x14ac:dyDescent="0.2">
      <c r="A433" t="s">
        <v>32</v>
      </c>
      <c r="B433">
        <v>0.04</v>
      </c>
      <c r="C433" t="s">
        <v>33</v>
      </c>
      <c r="D433" t="s">
        <v>6</v>
      </c>
      <c r="E433" t="s">
        <v>105</v>
      </c>
      <c r="G433" t="s">
        <v>19</v>
      </c>
      <c r="H433" t="s">
        <v>20</v>
      </c>
    </row>
    <row r="434" spans="1:9" x14ac:dyDescent="0.2">
      <c r="A434" t="s">
        <v>34</v>
      </c>
      <c r="B434">
        <v>109</v>
      </c>
      <c r="C434" t="s">
        <v>35</v>
      </c>
      <c r="D434" t="s">
        <v>6</v>
      </c>
      <c r="E434" t="s">
        <v>105</v>
      </c>
      <c r="G434" t="s">
        <v>19</v>
      </c>
      <c r="H434" t="s">
        <v>20</v>
      </c>
    </row>
    <row r="435" spans="1:9" x14ac:dyDescent="0.2">
      <c r="A435" t="s">
        <v>36</v>
      </c>
      <c r="B435">
        <v>-9.8100000000000007E-2</v>
      </c>
      <c r="C435" t="s">
        <v>37</v>
      </c>
      <c r="D435" t="s">
        <v>21</v>
      </c>
      <c r="E435" t="s">
        <v>106</v>
      </c>
      <c r="G435" t="s">
        <v>19</v>
      </c>
      <c r="H435" t="s">
        <v>20</v>
      </c>
    </row>
    <row r="436" spans="1:9" x14ac:dyDescent="0.2">
      <c r="A436" t="s">
        <v>39</v>
      </c>
      <c r="B436">
        <v>1.09E-2</v>
      </c>
      <c r="D436" t="s">
        <v>6</v>
      </c>
      <c r="E436" t="s">
        <v>106</v>
      </c>
      <c r="F436" t="s">
        <v>40</v>
      </c>
      <c r="G436" t="s">
        <v>41</v>
      </c>
      <c r="H436" t="s">
        <v>42</v>
      </c>
    </row>
    <row r="438" spans="1:9" x14ac:dyDescent="0.2">
      <c r="A438" t="s">
        <v>1</v>
      </c>
      <c r="B438" t="s">
        <v>140</v>
      </c>
    </row>
    <row r="439" spans="1:9" x14ac:dyDescent="0.2">
      <c r="A439" t="s">
        <v>2</v>
      </c>
      <c r="B439">
        <v>1</v>
      </c>
    </row>
    <row r="440" spans="1:9" x14ac:dyDescent="0.2">
      <c r="A440" t="s">
        <v>3</v>
      </c>
      <c r="B440" t="s">
        <v>141</v>
      </c>
    </row>
    <row r="441" spans="1:9" x14ac:dyDescent="0.2">
      <c r="A441" t="s">
        <v>4</v>
      </c>
      <c r="B441" t="s">
        <v>142</v>
      </c>
    </row>
    <row r="442" spans="1:9" x14ac:dyDescent="0.2">
      <c r="A442" t="s">
        <v>5</v>
      </c>
      <c r="B442" t="s">
        <v>6</v>
      </c>
    </row>
    <row r="443" spans="1:9" x14ac:dyDescent="0.2">
      <c r="A443" t="s">
        <v>7</v>
      </c>
      <c r="B443" t="s">
        <v>8</v>
      </c>
    </row>
    <row r="444" spans="1:9" x14ac:dyDescent="0.2">
      <c r="A444" t="s">
        <v>9</v>
      </c>
    </row>
    <row r="445" spans="1:9" x14ac:dyDescent="0.2">
      <c r="A445" t="s">
        <v>10</v>
      </c>
      <c r="B445" t="s">
        <v>11</v>
      </c>
      <c r="C445" t="s">
        <v>4</v>
      </c>
      <c r="D445" t="s">
        <v>5</v>
      </c>
      <c r="E445" t="s">
        <v>7</v>
      </c>
      <c r="F445" t="s">
        <v>12</v>
      </c>
      <c r="G445" t="s">
        <v>13</v>
      </c>
      <c r="H445" t="s">
        <v>14</v>
      </c>
      <c r="I445" t="s">
        <v>3</v>
      </c>
    </row>
    <row r="446" spans="1:9" x14ac:dyDescent="0.2">
      <c r="A446" t="s">
        <v>140</v>
      </c>
      <c r="B446">
        <v>1</v>
      </c>
      <c r="C446" t="s">
        <v>142</v>
      </c>
      <c r="D446" t="s">
        <v>6</v>
      </c>
      <c r="E446" t="s">
        <v>8</v>
      </c>
      <c r="G446" t="s">
        <v>15</v>
      </c>
      <c r="H446" t="s">
        <v>23</v>
      </c>
    </row>
    <row r="447" spans="1:9" x14ac:dyDescent="0.2">
      <c r="A447" t="s">
        <v>16</v>
      </c>
      <c r="B447">
        <v>1.8</v>
      </c>
      <c r="C447" t="s">
        <v>17</v>
      </c>
      <c r="D447" t="s">
        <v>6</v>
      </c>
      <c r="E447" t="s">
        <v>103</v>
      </c>
      <c r="G447" t="s">
        <v>19</v>
      </c>
      <c r="H447" t="s">
        <v>20</v>
      </c>
    </row>
    <row r="448" spans="1:9" x14ac:dyDescent="0.2">
      <c r="A448" t="s">
        <v>196</v>
      </c>
      <c r="B448">
        <v>14.4</v>
      </c>
      <c r="C448" t="s">
        <v>197</v>
      </c>
      <c r="D448" t="s">
        <v>6</v>
      </c>
      <c r="E448" t="s">
        <v>104</v>
      </c>
      <c r="G448" t="s">
        <v>19</v>
      </c>
      <c r="H448" t="s">
        <v>23</v>
      </c>
    </row>
    <row r="449" spans="1:8" x14ac:dyDescent="0.2">
      <c r="A449" t="s">
        <v>90</v>
      </c>
      <c r="B449">
        <v>1.4999999999999999E-2</v>
      </c>
      <c r="C449" t="s">
        <v>91</v>
      </c>
      <c r="D449" t="s">
        <v>6</v>
      </c>
      <c r="E449" t="s">
        <v>105</v>
      </c>
      <c r="G449" t="s">
        <v>19</v>
      </c>
      <c r="H449" t="s">
        <v>23</v>
      </c>
    </row>
    <row r="450" spans="1:8" x14ac:dyDescent="0.2">
      <c r="A450" t="s">
        <v>24</v>
      </c>
      <c r="B450">
        <v>1E-3</v>
      </c>
      <c r="C450" t="s">
        <v>25</v>
      </c>
      <c r="D450" t="s">
        <v>6</v>
      </c>
      <c r="E450" t="s">
        <v>105</v>
      </c>
      <c r="G450" t="s">
        <v>19</v>
      </c>
      <c r="H450" t="s">
        <v>20</v>
      </c>
    </row>
    <row r="451" spans="1:8" x14ac:dyDescent="0.2">
      <c r="A451" t="s">
        <v>49</v>
      </c>
      <c r="B451">
        <v>5.0000000000000001E-3</v>
      </c>
      <c r="C451" t="s">
        <v>50</v>
      </c>
      <c r="D451" t="s">
        <v>21</v>
      </c>
      <c r="E451" t="s">
        <v>105</v>
      </c>
      <c r="G451" t="s">
        <v>19</v>
      </c>
      <c r="H451" t="s">
        <v>20</v>
      </c>
    </row>
    <row r="452" spans="1:8" x14ac:dyDescent="0.2">
      <c r="A452" t="s">
        <v>45</v>
      </c>
      <c r="B452">
        <v>1.7999999999999999E-2</v>
      </c>
      <c r="C452" t="s">
        <v>46</v>
      </c>
      <c r="D452" t="s">
        <v>21</v>
      </c>
      <c r="E452" t="s">
        <v>105</v>
      </c>
      <c r="G452" t="s">
        <v>19</v>
      </c>
      <c r="H452" t="s">
        <v>20</v>
      </c>
    </row>
    <row r="453" spans="1:8" x14ac:dyDescent="0.2">
      <c r="A453" t="s">
        <v>51</v>
      </c>
      <c r="B453">
        <v>8.0000000000000002E-3</v>
      </c>
      <c r="C453" t="s">
        <v>52</v>
      </c>
      <c r="D453" t="s">
        <v>6</v>
      </c>
      <c r="E453" t="s">
        <v>105</v>
      </c>
      <c r="G453" t="s">
        <v>19</v>
      </c>
      <c r="H453" t="s">
        <v>20</v>
      </c>
    </row>
    <row r="454" spans="1:8" x14ac:dyDescent="0.2">
      <c r="A454" t="s">
        <v>53</v>
      </c>
      <c r="B454">
        <v>8.0000000000000002E-3</v>
      </c>
      <c r="C454" t="s">
        <v>54</v>
      </c>
      <c r="D454" t="s">
        <v>21</v>
      </c>
      <c r="E454" t="s">
        <v>105</v>
      </c>
      <c r="G454" t="s">
        <v>19</v>
      </c>
      <c r="H454" t="s">
        <v>20</v>
      </c>
    </row>
    <row r="455" spans="1:8" x14ac:dyDescent="0.2">
      <c r="A455" t="s">
        <v>55</v>
      </c>
      <c r="B455">
        <v>6.3E-2</v>
      </c>
      <c r="C455" t="s">
        <v>56</v>
      </c>
      <c r="D455" t="s">
        <v>21</v>
      </c>
      <c r="E455" t="s">
        <v>105</v>
      </c>
      <c r="G455" t="s">
        <v>19</v>
      </c>
      <c r="H455" t="s">
        <v>20</v>
      </c>
    </row>
    <row r="456" spans="1:8" x14ac:dyDescent="0.2">
      <c r="A456" t="s">
        <v>32</v>
      </c>
      <c r="B456">
        <v>0.02</v>
      </c>
      <c r="C456" t="s">
        <v>33</v>
      </c>
      <c r="D456" t="s">
        <v>6</v>
      </c>
      <c r="E456" t="s">
        <v>105</v>
      </c>
      <c r="G456" t="s">
        <v>19</v>
      </c>
      <c r="H456" t="s">
        <v>20</v>
      </c>
    </row>
    <row r="457" spans="1:8" x14ac:dyDescent="0.2">
      <c r="A457" t="s">
        <v>34</v>
      </c>
      <c r="B457">
        <v>20</v>
      </c>
      <c r="C457" t="s">
        <v>35</v>
      </c>
      <c r="D457" t="s">
        <v>6</v>
      </c>
      <c r="E457" t="s">
        <v>105</v>
      </c>
      <c r="G457" t="s">
        <v>19</v>
      </c>
      <c r="H457" t="s">
        <v>20</v>
      </c>
    </row>
    <row r="458" spans="1:8" x14ac:dyDescent="0.2">
      <c r="A458" t="s">
        <v>36</v>
      </c>
      <c r="B458">
        <v>-1.7999999999999999E-2</v>
      </c>
      <c r="C458" t="s">
        <v>37</v>
      </c>
      <c r="D458" t="s">
        <v>21</v>
      </c>
      <c r="E458" t="s">
        <v>106</v>
      </c>
      <c r="G458" t="s">
        <v>19</v>
      </c>
      <c r="H458" t="s">
        <v>20</v>
      </c>
    </row>
    <row r="459" spans="1:8" x14ac:dyDescent="0.2">
      <c r="A459" t="s">
        <v>39</v>
      </c>
      <c r="B459">
        <v>2E-3</v>
      </c>
      <c r="D459" t="s">
        <v>6</v>
      </c>
      <c r="E459" t="s">
        <v>106</v>
      </c>
      <c r="F459" t="s">
        <v>40</v>
      </c>
      <c r="G459" t="s">
        <v>41</v>
      </c>
      <c r="H459" t="s">
        <v>42</v>
      </c>
    </row>
    <row r="461" spans="1:8" x14ac:dyDescent="0.2">
      <c r="A461" t="s">
        <v>1</v>
      </c>
      <c r="B461" t="s">
        <v>143</v>
      </c>
    </row>
    <row r="462" spans="1:8" x14ac:dyDescent="0.2">
      <c r="A462" t="s">
        <v>2</v>
      </c>
      <c r="B462">
        <v>1</v>
      </c>
    </row>
    <row r="463" spans="1:8" x14ac:dyDescent="0.2">
      <c r="A463" t="s">
        <v>3</v>
      </c>
      <c r="B463" t="s">
        <v>144</v>
      </c>
    </row>
    <row r="464" spans="1:8" x14ac:dyDescent="0.2">
      <c r="A464" t="s">
        <v>4</v>
      </c>
      <c r="B464" t="s">
        <v>145</v>
      </c>
    </row>
    <row r="465" spans="1:9" x14ac:dyDescent="0.2">
      <c r="A465" t="s">
        <v>5</v>
      </c>
      <c r="B465" t="s">
        <v>6</v>
      </c>
    </row>
    <row r="466" spans="1:9" x14ac:dyDescent="0.2">
      <c r="A466" t="s">
        <v>7</v>
      </c>
      <c r="B466" t="s">
        <v>8</v>
      </c>
    </row>
    <row r="467" spans="1:9" x14ac:dyDescent="0.2">
      <c r="A467" t="s">
        <v>9</v>
      </c>
    </row>
    <row r="468" spans="1:9" x14ac:dyDescent="0.2">
      <c r="A468" t="s">
        <v>10</v>
      </c>
      <c r="B468" t="s">
        <v>11</v>
      </c>
      <c r="C468" t="s">
        <v>4</v>
      </c>
      <c r="D468" t="s">
        <v>5</v>
      </c>
      <c r="E468" t="s">
        <v>7</v>
      </c>
      <c r="F468" t="s">
        <v>12</v>
      </c>
      <c r="G468" t="s">
        <v>13</v>
      </c>
      <c r="H468" t="s">
        <v>14</v>
      </c>
      <c r="I468" t="s">
        <v>3</v>
      </c>
    </row>
    <row r="469" spans="1:9" x14ac:dyDescent="0.2">
      <c r="A469" t="s">
        <v>143</v>
      </c>
      <c r="B469">
        <v>1</v>
      </c>
      <c r="C469" t="s">
        <v>145</v>
      </c>
      <c r="D469" t="s">
        <v>6</v>
      </c>
      <c r="E469" t="s">
        <v>8</v>
      </c>
      <c r="G469" t="s">
        <v>15</v>
      </c>
      <c r="H469" t="s">
        <v>23</v>
      </c>
    </row>
    <row r="470" spans="1:9" x14ac:dyDescent="0.2">
      <c r="A470" t="s">
        <v>16</v>
      </c>
      <c r="B470">
        <v>2.1</v>
      </c>
      <c r="C470" t="s">
        <v>17</v>
      </c>
      <c r="D470" t="s">
        <v>6</v>
      </c>
      <c r="E470" t="s">
        <v>103</v>
      </c>
      <c r="G470" t="s">
        <v>19</v>
      </c>
      <c r="H470" t="s">
        <v>20</v>
      </c>
    </row>
    <row r="471" spans="1:9" x14ac:dyDescent="0.2">
      <c r="A471" t="s">
        <v>196</v>
      </c>
      <c r="B471">
        <v>18.3</v>
      </c>
      <c r="C471" t="s">
        <v>197</v>
      </c>
      <c r="D471" t="s">
        <v>6</v>
      </c>
      <c r="E471" t="s">
        <v>104</v>
      </c>
      <c r="G471" t="s">
        <v>19</v>
      </c>
      <c r="H471" t="s">
        <v>23</v>
      </c>
    </row>
    <row r="472" spans="1:9" x14ac:dyDescent="0.2">
      <c r="A472" t="s">
        <v>77</v>
      </c>
      <c r="B472">
        <v>2.1999999999999999E-2</v>
      </c>
      <c r="C472" t="s">
        <v>76</v>
      </c>
      <c r="D472" t="s">
        <v>6</v>
      </c>
      <c r="E472" t="s">
        <v>105</v>
      </c>
      <c r="G472" t="s">
        <v>19</v>
      </c>
      <c r="H472" t="s">
        <v>23</v>
      </c>
    </row>
    <row r="473" spans="1:9" x14ac:dyDescent="0.2">
      <c r="A473" t="s">
        <v>24</v>
      </c>
      <c r="B473">
        <v>1E-3</v>
      </c>
      <c r="C473" t="s">
        <v>25</v>
      </c>
      <c r="D473" t="s">
        <v>6</v>
      </c>
      <c r="E473" t="s">
        <v>105</v>
      </c>
      <c r="G473" t="s">
        <v>19</v>
      </c>
      <c r="H473" t="s">
        <v>20</v>
      </c>
    </row>
    <row r="474" spans="1:9" x14ac:dyDescent="0.2">
      <c r="A474" t="s">
        <v>49</v>
      </c>
      <c r="B474">
        <v>5.0000000000000001E-3</v>
      </c>
      <c r="C474" t="s">
        <v>50</v>
      </c>
      <c r="D474" t="s">
        <v>21</v>
      </c>
      <c r="E474" t="s">
        <v>105</v>
      </c>
      <c r="G474" t="s">
        <v>19</v>
      </c>
      <c r="H474" t="s">
        <v>20</v>
      </c>
    </row>
    <row r="475" spans="1:9" x14ac:dyDescent="0.2">
      <c r="A475" t="s">
        <v>26</v>
      </c>
      <c r="B475">
        <v>5.0000000000000001E-3</v>
      </c>
      <c r="C475" t="s">
        <v>27</v>
      </c>
      <c r="D475" t="s">
        <v>6</v>
      </c>
      <c r="E475" t="s">
        <v>105</v>
      </c>
      <c r="G475" t="s">
        <v>19</v>
      </c>
      <c r="H475" t="s">
        <v>20</v>
      </c>
    </row>
    <row r="476" spans="1:9" x14ac:dyDescent="0.2">
      <c r="A476" t="s">
        <v>32</v>
      </c>
      <c r="B476">
        <v>0.02</v>
      </c>
      <c r="C476" t="s">
        <v>33</v>
      </c>
      <c r="D476" t="s">
        <v>6</v>
      </c>
      <c r="E476" t="s">
        <v>105</v>
      </c>
      <c r="G476" t="s">
        <v>19</v>
      </c>
      <c r="H476" t="s">
        <v>20</v>
      </c>
    </row>
    <row r="477" spans="1:9" x14ac:dyDescent="0.2">
      <c r="A477" t="s">
        <v>34</v>
      </c>
      <c r="B477">
        <v>20</v>
      </c>
      <c r="C477" t="s">
        <v>35</v>
      </c>
      <c r="D477" t="s">
        <v>6</v>
      </c>
      <c r="E477" t="s">
        <v>105</v>
      </c>
      <c r="G477" t="s">
        <v>19</v>
      </c>
      <c r="H477" t="s">
        <v>20</v>
      </c>
    </row>
    <row r="478" spans="1:9" x14ac:dyDescent="0.2">
      <c r="A478" t="s">
        <v>36</v>
      </c>
      <c r="B478">
        <v>-1.7999999999999999E-2</v>
      </c>
      <c r="C478" t="s">
        <v>37</v>
      </c>
      <c r="D478" t="s">
        <v>21</v>
      </c>
      <c r="E478" t="s">
        <v>106</v>
      </c>
      <c r="G478" t="s">
        <v>19</v>
      </c>
      <c r="H478" t="s">
        <v>20</v>
      </c>
    </row>
    <row r="479" spans="1:9" x14ac:dyDescent="0.2">
      <c r="A479" t="s">
        <v>39</v>
      </c>
      <c r="B479">
        <v>2E-3</v>
      </c>
      <c r="D479" t="s">
        <v>6</v>
      </c>
      <c r="E479" t="s">
        <v>106</v>
      </c>
      <c r="F479" t="s">
        <v>40</v>
      </c>
      <c r="G479" t="s">
        <v>41</v>
      </c>
      <c r="H479" t="s">
        <v>42</v>
      </c>
    </row>
    <row r="481" spans="1:9" x14ac:dyDescent="0.2">
      <c r="A481" t="s">
        <v>1</v>
      </c>
      <c r="B481" t="s">
        <v>146</v>
      </c>
    </row>
    <row r="482" spans="1:9" x14ac:dyDescent="0.2">
      <c r="A482" t="s">
        <v>2</v>
      </c>
      <c r="B482">
        <v>1</v>
      </c>
    </row>
    <row r="483" spans="1:9" x14ac:dyDescent="0.2">
      <c r="A483" t="s">
        <v>3</v>
      </c>
      <c r="B483" t="s">
        <v>144</v>
      </c>
    </row>
    <row r="484" spans="1:9" x14ac:dyDescent="0.2">
      <c r="A484" t="s">
        <v>4</v>
      </c>
      <c r="B484" t="s">
        <v>147</v>
      </c>
    </row>
    <row r="485" spans="1:9" x14ac:dyDescent="0.2">
      <c r="A485" t="s">
        <v>5</v>
      </c>
      <c r="B485" t="s">
        <v>6</v>
      </c>
    </row>
    <row r="486" spans="1:9" x14ac:dyDescent="0.2">
      <c r="A486" t="s">
        <v>7</v>
      </c>
      <c r="B486" t="s">
        <v>8</v>
      </c>
    </row>
    <row r="487" spans="1:9" x14ac:dyDescent="0.2">
      <c r="A487" t="s">
        <v>9</v>
      </c>
    </row>
    <row r="488" spans="1:9" x14ac:dyDescent="0.2">
      <c r="A488" t="s">
        <v>10</v>
      </c>
      <c r="B488" t="s">
        <v>11</v>
      </c>
      <c r="C488" t="s">
        <v>4</v>
      </c>
      <c r="D488" t="s">
        <v>5</v>
      </c>
      <c r="E488" t="s">
        <v>7</v>
      </c>
      <c r="F488" t="s">
        <v>12</v>
      </c>
      <c r="G488" t="s">
        <v>13</v>
      </c>
      <c r="H488" t="s">
        <v>14</v>
      </c>
      <c r="I488" t="s">
        <v>3</v>
      </c>
    </row>
    <row r="489" spans="1:9" x14ac:dyDescent="0.2">
      <c r="A489" t="s">
        <v>146</v>
      </c>
      <c r="B489">
        <v>1</v>
      </c>
      <c r="C489" t="s">
        <v>147</v>
      </c>
      <c r="D489" t="s">
        <v>6</v>
      </c>
      <c r="E489" t="s">
        <v>8</v>
      </c>
      <c r="G489" t="s">
        <v>15</v>
      </c>
      <c r="H489" t="s">
        <v>23</v>
      </c>
    </row>
    <row r="490" spans="1:9" x14ac:dyDescent="0.2">
      <c r="A490" t="s">
        <v>16</v>
      </c>
      <c r="B490">
        <v>2.2999999999999998</v>
      </c>
      <c r="C490" t="s">
        <v>17</v>
      </c>
      <c r="D490" t="s">
        <v>6</v>
      </c>
      <c r="E490" t="s">
        <v>103</v>
      </c>
      <c r="G490" t="s">
        <v>19</v>
      </c>
      <c r="H490" t="s">
        <v>20</v>
      </c>
    </row>
    <row r="491" spans="1:9" x14ac:dyDescent="0.2">
      <c r="A491" t="s">
        <v>196</v>
      </c>
      <c r="B491">
        <v>17.8</v>
      </c>
      <c r="C491" t="s">
        <v>197</v>
      </c>
      <c r="D491" t="s">
        <v>6</v>
      </c>
      <c r="E491" t="s">
        <v>104</v>
      </c>
      <c r="G491" t="s">
        <v>19</v>
      </c>
      <c r="H491" t="s">
        <v>23</v>
      </c>
    </row>
    <row r="492" spans="1:9" x14ac:dyDescent="0.2">
      <c r="A492" t="s">
        <v>90</v>
      </c>
      <c r="B492">
        <v>1.4999999999999999E-2</v>
      </c>
      <c r="C492" t="s">
        <v>91</v>
      </c>
      <c r="D492" t="s">
        <v>6</v>
      </c>
      <c r="E492" t="s">
        <v>105</v>
      </c>
      <c r="G492" t="s">
        <v>19</v>
      </c>
      <c r="H492" t="s">
        <v>23</v>
      </c>
    </row>
    <row r="493" spans="1:9" x14ac:dyDescent="0.2">
      <c r="A493" t="s">
        <v>24</v>
      </c>
      <c r="B493">
        <v>1E-3</v>
      </c>
      <c r="C493" t="s">
        <v>25</v>
      </c>
      <c r="D493" t="s">
        <v>6</v>
      </c>
      <c r="E493" t="s">
        <v>105</v>
      </c>
      <c r="G493" t="s">
        <v>19</v>
      </c>
      <c r="H493" t="s">
        <v>20</v>
      </c>
    </row>
    <row r="494" spans="1:9" x14ac:dyDescent="0.2">
      <c r="A494" t="s">
        <v>49</v>
      </c>
      <c r="B494">
        <v>5.0000000000000001E-3</v>
      </c>
      <c r="C494" t="s">
        <v>50</v>
      </c>
      <c r="D494" t="s">
        <v>21</v>
      </c>
      <c r="E494" t="s">
        <v>105</v>
      </c>
      <c r="G494" t="s">
        <v>19</v>
      </c>
      <c r="H494" t="s">
        <v>20</v>
      </c>
    </row>
    <row r="495" spans="1:9" x14ac:dyDescent="0.2">
      <c r="A495" t="s">
        <v>43</v>
      </c>
      <c r="B495">
        <v>0.06</v>
      </c>
      <c r="C495" t="s">
        <v>44</v>
      </c>
      <c r="D495" t="s">
        <v>21</v>
      </c>
      <c r="E495" t="s">
        <v>105</v>
      </c>
      <c r="G495" t="s">
        <v>19</v>
      </c>
      <c r="H495" t="s">
        <v>20</v>
      </c>
    </row>
    <row r="496" spans="1:9" x14ac:dyDescent="0.2">
      <c r="A496" t="s">
        <v>51</v>
      </c>
      <c r="B496">
        <v>8.0000000000000002E-3</v>
      </c>
      <c r="C496" t="s">
        <v>52</v>
      </c>
      <c r="D496" t="s">
        <v>6</v>
      </c>
      <c r="E496" t="s">
        <v>105</v>
      </c>
      <c r="G496" t="s">
        <v>19</v>
      </c>
      <c r="H496" t="s">
        <v>20</v>
      </c>
    </row>
    <row r="497" spans="1:9" x14ac:dyDescent="0.2">
      <c r="A497" t="s">
        <v>26</v>
      </c>
      <c r="B497">
        <v>5.0000000000000001E-3</v>
      </c>
      <c r="C497" t="s">
        <v>27</v>
      </c>
      <c r="D497" t="s">
        <v>6</v>
      </c>
      <c r="E497" t="s">
        <v>105</v>
      </c>
      <c r="G497" t="s">
        <v>19</v>
      </c>
      <c r="H497" t="s">
        <v>20</v>
      </c>
    </row>
    <row r="498" spans="1:9" x14ac:dyDescent="0.2">
      <c r="A498" t="s">
        <v>32</v>
      </c>
      <c r="B498">
        <v>0.02</v>
      </c>
      <c r="C498" t="s">
        <v>33</v>
      </c>
      <c r="D498" t="s">
        <v>6</v>
      </c>
      <c r="E498" t="s">
        <v>105</v>
      </c>
      <c r="G498" t="s">
        <v>19</v>
      </c>
      <c r="H498" t="s">
        <v>20</v>
      </c>
    </row>
    <row r="499" spans="1:9" x14ac:dyDescent="0.2">
      <c r="A499" t="s">
        <v>34</v>
      </c>
      <c r="B499">
        <v>36</v>
      </c>
      <c r="C499" t="s">
        <v>35</v>
      </c>
      <c r="D499" t="s">
        <v>6</v>
      </c>
      <c r="E499" t="s">
        <v>105</v>
      </c>
      <c r="G499" t="s">
        <v>19</v>
      </c>
      <c r="H499" t="s">
        <v>20</v>
      </c>
    </row>
    <row r="500" spans="1:9" x14ac:dyDescent="0.2">
      <c r="A500" t="s">
        <v>36</v>
      </c>
      <c r="B500">
        <v>-3.2399999999999998E-2</v>
      </c>
      <c r="C500" t="s">
        <v>37</v>
      </c>
      <c r="D500" t="s">
        <v>21</v>
      </c>
      <c r="E500" t="s">
        <v>106</v>
      </c>
      <c r="G500" t="s">
        <v>19</v>
      </c>
      <c r="H500" t="s">
        <v>20</v>
      </c>
    </row>
    <row r="501" spans="1:9" x14ac:dyDescent="0.2">
      <c r="A501" t="s">
        <v>39</v>
      </c>
      <c r="B501">
        <v>3.5999999999999999E-3</v>
      </c>
      <c r="D501" t="s">
        <v>6</v>
      </c>
      <c r="E501" t="s">
        <v>106</v>
      </c>
      <c r="F501" t="s">
        <v>40</v>
      </c>
      <c r="G501" t="s">
        <v>41</v>
      </c>
      <c r="H501" t="s">
        <v>42</v>
      </c>
    </row>
    <row r="503" spans="1:9" x14ac:dyDescent="0.2">
      <c r="A503" t="s">
        <v>1</v>
      </c>
      <c r="B503" t="s">
        <v>148</v>
      </c>
    </row>
    <row r="504" spans="1:9" x14ac:dyDescent="0.2">
      <c r="A504" t="s">
        <v>2</v>
      </c>
      <c r="B504">
        <v>1</v>
      </c>
    </row>
    <row r="505" spans="1:9" x14ac:dyDescent="0.2">
      <c r="A505" t="s">
        <v>3</v>
      </c>
      <c r="B505" t="s">
        <v>144</v>
      </c>
    </row>
    <row r="506" spans="1:9" x14ac:dyDescent="0.2">
      <c r="A506" t="s">
        <v>4</v>
      </c>
      <c r="B506" t="s">
        <v>149</v>
      </c>
    </row>
    <row r="507" spans="1:9" x14ac:dyDescent="0.2">
      <c r="A507" t="s">
        <v>5</v>
      </c>
      <c r="B507" t="s">
        <v>6</v>
      </c>
    </row>
    <row r="508" spans="1:9" x14ac:dyDescent="0.2">
      <c r="A508" t="s">
        <v>7</v>
      </c>
      <c r="B508" t="s">
        <v>8</v>
      </c>
    </row>
    <row r="509" spans="1:9" x14ac:dyDescent="0.2">
      <c r="A509" t="s">
        <v>9</v>
      </c>
    </row>
    <row r="510" spans="1:9" x14ac:dyDescent="0.2">
      <c r="A510" t="s">
        <v>10</v>
      </c>
      <c r="B510" t="s">
        <v>11</v>
      </c>
      <c r="C510" t="s">
        <v>4</v>
      </c>
      <c r="D510" t="s">
        <v>5</v>
      </c>
      <c r="E510" t="s">
        <v>7</v>
      </c>
      <c r="F510" t="s">
        <v>12</v>
      </c>
      <c r="G510" t="s">
        <v>13</v>
      </c>
      <c r="H510" t="s">
        <v>14</v>
      </c>
      <c r="I510" t="s">
        <v>3</v>
      </c>
    </row>
    <row r="511" spans="1:9" x14ac:dyDescent="0.2">
      <c r="A511" t="s">
        <v>148</v>
      </c>
      <c r="B511">
        <v>1</v>
      </c>
      <c r="C511" t="s">
        <v>149</v>
      </c>
      <c r="D511" t="s">
        <v>6</v>
      </c>
      <c r="E511" t="s">
        <v>8</v>
      </c>
      <c r="G511" t="s">
        <v>15</v>
      </c>
      <c r="H511" t="s">
        <v>23</v>
      </c>
    </row>
    <row r="512" spans="1:9" x14ac:dyDescent="0.2">
      <c r="A512" t="s">
        <v>16</v>
      </c>
      <c r="B512">
        <v>2.1</v>
      </c>
      <c r="C512" t="s">
        <v>17</v>
      </c>
      <c r="D512" t="s">
        <v>6</v>
      </c>
      <c r="E512" t="s">
        <v>103</v>
      </c>
      <c r="G512" t="s">
        <v>19</v>
      </c>
      <c r="H512" t="s">
        <v>20</v>
      </c>
    </row>
    <row r="513" spans="1:8" x14ac:dyDescent="0.2">
      <c r="A513" t="s">
        <v>196</v>
      </c>
      <c r="B513">
        <v>18.3</v>
      </c>
      <c r="C513" t="s">
        <v>197</v>
      </c>
      <c r="D513" t="s">
        <v>6</v>
      </c>
      <c r="E513" t="s">
        <v>104</v>
      </c>
      <c r="G513" t="s">
        <v>19</v>
      </c>
      <c r="H513" t="s">
        <v>23</v>
      </c>
    </row>
    <row r="514" spans="1:8" x14ac:dyDescent="0.2">
      <c r="A514" t="s">
        <v>92</v>
      </c>
      <c r="B514">
        <v>7.4999999999999997E-2</v>
      </c>
      <c r="C514" t="s">
        <v>93</v>
      </c>
      <c r="D514" t="s">
        <v>6</v>
      </c>
      <c r="E514" t="s">
        <v>105</v>
      </c>
      <c r="G514" t="s">
        <v>19</v>
      </c>
      <c r="H514" t="s">
        <v>23</v>
      </c>
    </row>
    <row r="515" spans="1:8" x14ac:dyDescent="0.2">
      <c r="A515" t="s">
        <v>24</v>
      </c>
      <c r="B515">
        <v>2E-3</v>
      </c>
      <c r="C515" t="s">
        <v>25</v>
      </c>
      <c r="D515" t="s">
        <v>6</v>
      </c>
      <c r="E515" t="s">
        <v>105</v>
      </c>
      <c r="G515" t="s">
        <v>19</v>
      </c>
      <c r="H515" t="s">
        <v>20</v>
      </c>
    </row>
    <row r="516" spans="1:8" x14ac:dyDescent="0.2">
      <c r="A516" t="s">
        <v>57</v>
      </c>
      <c r="B516">
        <v>3.0000000000000001E-3</v>
      </c>
      <c r="C516" t="s">
        <v>58</v>
      </c>
      <c r="D516" t="s">
        <v>6</v>
      </c>
      <c r="E516" t="s">
        <v>105</v>
      </c>
      <c r="G516" t="s">
        <v>19</v>
      </c>
      <c r="H516" t="s">
        <v>20</v>
      </c>
    </row>
    <row r="517" spans="1:8" x14ac:dyDescent="0.2">
      <c r="A517" t="s">
        <v>53</v>
      </c>
      <c r="B517">
        <v>1E-3</v>
      </c>
      <c r="C517" t="s">
        <v>54</v>
      </c>
      <c r="D517" t="s">
        <v>21</v>
      </c>
      <c r="E517" t="s">
        <v>105</v>
      </c>
      <c r="G517" t="s">
        <v>19</v>
      </c>
      <c r="H517" t="s">
        <v>20</v>
      </c>
    </row>
    <row r="518" spans="1:8" x14ac:dyDescent="0.2">
      <c r="A518" t="s">
        <v>32</v>
      </c>
      <c r="B518">
        <v>0.02</v>
      </c>
      <c r="C518" t="s">
        <v>33</v>
      </c>
      <c r="D518" t="s">
        <v>6</v>
      </c>
      <c r="E518" t="s">
        <v>105</v>
      </c>
      <c r="G518" t="s">
        <v>19</v>
      </c>
      <c r="H518" t="s">
        <v>20</v>
      </c>
    </row>
    <row r="519" spans="1:8" x14ac:dyDescent="0.2">
      <c r="A519" t="s">
        <v>34</v>
      </c>
      <c r="B519">
        <v>30</v>
      </c>
      <c r="C519" t="s">
        <v>35</v>
      </c>
      <c r="D519" t="s">
        <v>6</v>
      </c>
      <c r="E519" t="s">
        <v>105</v>
      </c>
      <c r="G519" t="s">
        <v>19</v>
      </c>
      <c r="H519" t="s">
        <v>20</v>
      </c>
    </row>
    <row r="520" spans="1:8" x14ac:dyDescent="0.2">
      <c r="A520" t="s">
        <v>36</v>
      </c>
      <c r="B520">
        <v>-2.7E-2</v>
      </c>
      <c r="C520" t="s">
        <v>37</v>
      </c>
      <c r="D520" t="s">
        <v>21</v>
      </c>
      <c r="E520" t="s">
        <v>106</v>
      </c>
      <c r="G520" t="s">
        <v>19</v>
      </c>
      <c r="H520" t="s">
        <v>20</v>
      </c>
    </row>
    <row r="521" spans="1:8" x14ac:dyDescent="0.2">
      <c r="A521" t="s">
        <v>39</v>
      </c>
      <c r="B521">
        <v>3.0000000000000001E-3</v>
      </c>
      <c r="D521" t="s">
        <v>6</v>
      </c>
      <c r="E521" t="s">
        <v>106</v>
      </c>
      <c r="F521" t="s">
        <v>40</v>
      </c>
      <c r="G521" t="s">
        <v>41</v>
      </c>
      <c r="H521" t="s">
        <v>42</v>
      </c>
    </row>
    <row r="523" spans="1:8" x14ac:dyDescent="0.2">
      <c r="A523" t="s">
        <v>1</v>
      </c>
      <c r="B523" t="s">
        <v>150</v>
      </c>
    </row>
    <row r="524" spans="1:8" x14ac:dyDescent="0.2">
      <c r="A524" t="s">
        <v>2</v>
      </c>
      <c r="B524">
        <v>1</v>
      </c>
    </row>
    <row r="525" spans="1:8" x14ac:dyDescent="0.2">
      <c r="A525" t="s">
        <v>3</v>
      </c>
      <c r="B525" t="s">
        <v>151</v>
      </c>
    </row>
    <row r="526" spans="1:8" x14ac:dyDescent="0.2">
      <c r="A526" t="s">
        <v>4</v>
      </c>
      <c r="B526" t="s">
        <v>152</v>
      </c>
    </row>
    <row r="527" spans="1:8" x14ac:dyDescent="0.2">
      <c r="A527" t="s">
        <v>5</v>
      </c>
      <c r="B527" t="s">
        <v>6</v>
      </c>
    </row>
    <row r="528" spans="1:8" x14ac:dyDescent="0.2">
      <c r="A528" t="s">
        <v>7</v>
      </c>
      <c r="B528" t="s">
        <v>8</v>
      </c>
    </row>
    <row r="529" spans="1:9" x14ac:dyDescent="0.2">
      <c r="A529" t="s">
        <v>9</v>
      </c>
    </row>
    <row r="530" spans="1:9" x14ac:dyDescent="0.2">
      <c r="A530" t="s">
        <v>10</v>
      </c>
      <c r="B530" t="s">
        <v>11</v>
      </c>
      <c r="C530" t="s">
        <v>4</v>
      </c>
      <c r="D530" t="s">
        <v>5</v>
      </c>
      <c r="E530" t="s">
        <v>7</v>
      </c>
      <c r="F530" t="s">
        <v>12</v>
      </c>
      <c r="G530" t="s">
        <v>13</v>
      </c>
      <c r="H530" t="s">
        <v>14</v>
      </c>
      <c r="I530" t="s">
        <v>3</v>
      </c>
    </row>
    <row r="531" spans="1:9" x14ac:dyDescent="0.2">
      <c r="A531" t="s">
        <v>150</v>
      </c>
      <c r="B531">
        <v>1</v>
      </c>
      <c r="C531" t="s">
        <v>152</v>
      </c>
      <c r="D531" t="s">
        <v>6</v>
      </c>
      <c r="E531" t="s">
        <v>8</v>
      </c>
      <c r="G531" t="s">
        <v>15</v>
      </c>
      <c r="H531" t="s">
        <v>23</v>
      </c>
    </row>
    <row r="532" spans="1:9" x14ac:dyDescent="0.2">
      <c r="A532" t="s">
        <v>16</v>
      </c>
      <c r="B532">
        <v>1.8</v>
      </c>
      <c r="C532" t="s">
        <v>17</v>
      </c>
      <c r="D532" t="s">
        <v>6</v>
      </c>
      <c r="E532" t="s">
        <v>103</v>
      </c>
      <c r="G532" t="s">
        <v>19</v>
      </c>
      <c r="H532" t="s">
        <v>20</v>
      </c>
    </row>
    <row r="533" spans="1:9" x14ac:dyDescent="0.2">
      <c r="A533" t="s">
        <v>196</v>
      </c>
      <c r="B533">
        <v>19.8</v>
      </c>
      <c r="C533" t="s">
        <v>197</v>
      </c>
      <c r="D533" t="s">
        <v>6</v>
      </c>
      <c r="E533" t="s">
        <v>104</v>
      </c>
      <c r="G533" t="s">
        <v>19</v>
      </c>
      <c r="H533" t="s">
        <v>23</v>
      </c>
    </row>
    <row r="534" spans="1:9" x14ac:dyDescent="0.2">
      <c r="A534" t="s">
        <v>74</v>
      </c>
      <c r="B534">
        <v>0.01</v>
      </c>
      <c r="C534" t="s">
        <v>75</v>
      </c>
      <c r="D534" t="s">
        <v>6</v>
      </c>
      <c r="E534" t="s">
        <v>105</v>
      </c>
      <c r="G534" t="s">
        <v>19</v>
      </c>
      <c r="H534" t="s">
        <v>23</v>
      </c>
    </row>
    <row r="535" spans="1:9" x14ac:dyDescent="0.2">
      <c r="A535" t="s">
        <v>24</v>
      </c>
      <c r="B535">
        <v>1E-3</v>
      </c>
      <c r="C535" t="s">
        <v>25</v>
      </c>
      <c r="D535" t="s">
        <v>6</v>
      </c>
      <c r="E535" t="s">
        <v>105</v>
      </c>
      <c r="G535" t="s">
        <v>19</v>
      </c>
      <c r="H535" t="s">
        <v>20</v>
      </c>
    </row>
    <row r="536" spans="1:9" x14ac:dyDescent="0.2">
      <c r="A536" t="s">
        <v>59</v>
      </c>
      <c r="B536">
        <v>2.0000000000000001E-4</v>
      </c>
      <c r="C536" t="s">
        <v>60</v>
      </c>
      <c r="D536" t="s">
        <v>21</v>
      </c>
      <c r="E536" t="s">
        <v>105</v>
      </c>
      <c r="G536" t="s">
        <v>19</v>
      </c>
      <c r="H536" t="s">
        <v>20</v>
      </c>
    </row>
    <row r="537" spans="1:9" x14ac:dyDescent="0.2">
      <c r="A537" t="s">
        <v>51</v>
      </c>
      <c r="B537">
        <v>1E-3</v>
      </c>
      <c r="C537" t="s">
        <v>52</v>
      </c>
      <c r="D537" t="s">
        <v>6</v>
      </c>
      <c r="E537" t="s">
        <v>105</v>
      </c>
      <c r="G537" t="s">
        <v>19</v>
      </c>
      <c r="H537" t="s">
        <v>20</v>
      </c>
    </row>
    <row r="538" spans="1:9" x14ac:dyDescent="0.2">
      <c r="A538" t="s">
        <v>61</v>
      </c>
      <c r="B538">
        <v>2.9999999999999997E-4</v>
      </c>
      <c r="C538" t="s">
        <v>62</v>
      </c>
      <c r="D538" t="s">
        <v>6</v>
      </c>
      <c r="E538" t="s">
        <v>105</v>
      </c>
      <c r="G538" t="s">
        <v>19</v>
      </c>
      <c r="H538" t="s">
        <v>20</v>
      </c>
    </row>
    <row r="539" spans="1:9" x14ac:dyDescent="0.2">
      <c r="A539" t="s">
        <v>32</v>
      </c>
      <c r="B539">
        <v>0.02</v>
      </c>
      <c r="C539" t="s">
        <v>33</v>
      </c>
      <c r="D539" t="s">
        <v>6</v>
      </c>
      <c r="E539" t="s">
        <v>105</v>
      </c>
      <c r="G539" t="s">
        <v>19</v>
      </c>
      <c r="H539" t="s">
        <v>20</v>
      </c>
    </row>
    <row r="540" spans="1:9" x14ac:dyDescent="0.2">
      <c r="A540" t="s">
        <v>34</v>
      </c>
      <c r="B540">
        <v>20</v>
      </c>
      <c r="C540" t="s">
        <v>35</v>
      </c>
      <c r="D540" t="s">
        <v>6</v>
      </c>
      <c r="E540" t="s">
        <v>105</v>
      </c>
      <c r="G540" t="s">
        <v>19</v>
      </c>
      <c r="H540" t="s">
        <v>20</v>
      </c>
    </row>
    <row r="541" spans="1:9" x14ac:dyDescent="0.2">
      <c r="A541" t="s">
        <v>36</v>
      </c>
      <c r="B541">
        <v>-1.7999999999999999E-2</v>
      </c>
      <c r="C541" t="s">
        <v>37</v>
      </c>
      <c r="D541" t="s">
        <v>21</v>
      </c>
      <c r="E541" t="s">
        <v>106</v>
      </c>
      <c r="G541" t="s">
        <v>19</v>
      </c>
      <c r="H541" t="s">
        <v>20</v>
      </c>
    </row>
    <row r="542" spans="1:9" x14ac:dyDescent="0.2">
      <c r="A542" t="s">
        <v>39</v>
      </c>
      <c r="B542">
        <v>2E-3</v>
      </c>
      <c r="D542" t="s">
        <v>6</v>
      </c>
      <c r="E542" t="s">
        <v>106</v>
      </c>
      <c r="F542" t="s">
        <v>40</v>
      </c>
      <c r="G542" t="s">
        <v>41</v>
      </c>
      <c r="H542" t="s">
        <v>42</v>
      </c>
    </row>
    <row r="544" spans="1:9" x14ac:dyDescent="0.2">
      <c r="A544" t="s">
        <v>1</v>
      </c>
      <c r="B544" t="s">
        <v>153</v>
      </c>
    </row>
    <row r="545" spans="1:9" x14ac:dyDescent="0.2">
      <c r="A545" t="s">
        <v>2</v>
      </c>
      <c r="B545">
        <v>1</v>
      </c>
    </row>
    <row r="546" spans="1:9" x14ac:dyDescent="0.2">
      <c r="A546" t="s">
        <v>3</v>
      </c>
      <c r="B546" t="s">
        <v>154</v>
      </c>
    </row>
    <row r="547" spans="1:9" x14ac:dyDescent="0.2">
      <c r="A547" t="s">
        <v>4</v>
      </c>
      <c r="B547" t="s">
        <v>155</v>
      </c>
    </row>
    <row r="548" spans="1:9" x14ac:dyDescent="0.2">
      <c r="A548" t="s">
        <v>5</v>
      </c>
      <c r="B548" t="s">
        <v>6</v>
      </c>
    </row>
    <row r="549" spans="1:9" x14ac:dyDescent="0.2">
      <c r="A549" t="s">
        <v>7</v>
      </c>
      <c r="B549" t="s">
        <v>8</v>
      </c>
    </row>
    <row r="550" spans="1:9" x14ac:dyDescent="0.2">
      <c r="A550" t="s">
        <v>9</v>
      </c>
    </row>
    <row r="551" spans="1:9" x14ac:dyDescent="0.2">
      <c r="A551" t="s">
        <v>10</v>
      </c>
      <c r="B551" t="s">
        <v>11</v>
      </c>
      <c r="C551" t="s">
        <v>4</v>
      </c>
      <c r="D551" t="s">
        <v>5</v>
      </c>
      <c r="E551" t="s">
        <v>7</v>
      </c>
      <c r="F551" t="s">
        <v>12</v>
      </c>
      <c r="G551" t="s">
        <v>13</v>
      </c>
      <c r="H551" t="s">
        <v>14</v>
      </c>
      <c r="I551" t="s">
        <v>3</v>
      </c>
    </row>
    <row r="552" spans="1:9" x14ac:dyDescent="0.2">
      <c r="A552" t="s">
        <v>153</v>
      </c>
      <c r="B552">
        <v>1</v>
      </c>
      <c r="C552" t="s">
        <v>155</v>
      </c>
      <c r="D552" t="s">
        <v>6</v>
      </c>
      <c r="E552" t="s">
        <v>8</v>
      </c>
      <c r="G552" t="s">
        <v>15</v>
      </c>
      <c r="H552" t="s">
        <v>23</v>
      </c>
    </row>
    <row r="553" spans="1:9" x14ac:dyDescent="0.2">
      <c r="A553" t="s">
        <v>16</v>
      </c>
      <c r="B553">
        <v>2.8</v>
      </c>
      <c r="C553" t="s">
        <v>17</v>
      </c>
      <c r="D553" t="s">
        <v>6</v>
      </c>
      <c r="E553" t="s">
        <v>103</v>
      </c>
      <c r="G553" t="s">
        <v>19</v>
      </c>
      <c r="H553" t="s">
        <v>20</v>
      </c>
    </row>
    <row r="554" spans="1:9" x14ac:dyDescent="0.2">
      <c r="A554" t="s">
        <v>196</v>
      </c>
      <c r="B554">
        <v>21.6</v>
      </c>
      <c r="C554" t="s">
        <v>197</v>
      </c>
      <c r="D554" t="s">
        <v>6</v>
      </c>
      <c r="E554" t="s">
        <v>104</v>
      </c>
      <c r="G554" t="s">
        <v>19</v>
      </c>
      <c r="H554" t="s">
        <v>23</v>
      </c>
    </row>
    <row r="555" spans="1:9" x14ac:dyDescent="0.2">
      <c r="A555" t="s">
        <v>77</v>
      </c>
      <c r="B555">
        <v>2.146E-2</v>
      </c>
      <c r="C555" t="s">
        <v>76</v>
      </c>
      <c r="D555" t="s">
        <v>6</v>
      </c>
      <c r="E555" t="s">
        <v>105</v>
      </c>
      <c r="G555" t="s">
        <v>19</v>
      </c>
      <c r="H555" t="s">
        <v>23</v>
      </c>
    </row>
    <row r="556" spans="1:9" x14ac:dyDescent="0.2">
      <c r="A556" t="s">
        <v>24</v>
      </c>
      <c r="B556">
        <v>1.4999999999999999E-2</v>
      </c>
      <c r="C556" t="s">
        <v>25</v>
      </c>
      <c r="D556" t="s">
        <v>6</v>
      </c>
      <c r="E556" t="s">
        <v>105</v>
      </c>
      <c r="G556" t="s">
        <v>19</v>
      </c>
      <c r="H556" t="s">
        <v>20</v>
      </c>
    </row>
    <row r="557" spans="1:9" x14ac:dyDescent="0.2">
      <c r="A557" t="s">
        <v>26</v>
      </c>
      <c r="B557">
        <v>2.2499999999999999E-2</v>
      </c>
      <c r="C557" t="s">
        <v>27</v>
      </c>
      <c r="D557" t="s">
        <v>6</v>
      </c>
      <c r="E557" t="s">
        <v>105</v>
      </c>
      <c r="G557" t="s">
        <v>19</v>
      </c>
      <c r="H557" t="s">
        <v>20</v>
      </c>
    </row>
    <row r="558" spans="1:9" x14ac:dyDescent="0.2">
      <c r="A558" t="s">
        <v>24</v>
      </c>
      <c r="B558">
        <v>0.02</v>
      </c>
      <c r="C558" t="s">
        <v>25</v>
      </c>
      <c r="D558" t="s">
        <v>6</v>
      </c>
      <c r="E558" t="s">
        <v>105</v>
      </c>
      <c r="G558" t="s">
        <v>19</v>
      </c>
      <c r="H558" t="s">
        <v>20</v>
      </c>
    </row>
    <row r="559" spans="1:9" x14ac:dyDescent="0.2">
      <c r="A559" t="s">
        <v>24</v>
      </c>
      <c r="B559">
        <v>2.9999999999999997E-4</v>
      </c>
      <c r="C559" t="s">
        <v>25</v>
      </c>
      <c r="D559" t="s">
        <v>6</v>
      </c>
      <c r="E559" t="s">
        <v>105</v>
      </c>
      <c r="G559" t="s">
        <v>19</v>
      </c>
      <c r="H559" t="s">
        <v>20</v>
      </c>
    </row>
    <row r="560" spans="1:9" x14ac:dyDescent="0.2">
      <c r="A560" t="s">
        <v>34</v>
      </c>
      <c r="B560">
        <v>36</v>
      </c>
      <c r="C560" t="s">
        <v>35</v>
      </c>
      <c r="D560" t="s">
        <v>6</v>
      </c>
      <c r="E560" t="s">
        <v>105</v>
      </c>
      <c r="G560" t="s">
        <v>19</v>
      </c>
      <c r="H560" t="s">
        <v>20</v>
      </c>
    </row>
    <row r="561" spans="1:9" x14ac:dyDescent="0.2">
      <c r="A561" t="s">
        <v>36</v>
      </c>
      <c r="B561">
        <v>-3.2399999999999998E-2</v>
      </c>
      <c r="C561" t="s">
        <v>37</v>
      </c>
      <c r="D561" t="s">
        <v>21</v>
      </c>
      <c r="E561" t="s">
        <v>106</v>
      </c>
      <c r="G561" t="s">
        <v>19</v>
      </c>
      <c r="H561" t="s">
        <v>20</v>
      </c>
    </row>
    <row r="562" spans="1:9" x14ac:dyDescent="0.2">
      <c r="A562" t="s">
        <v>39</v>
      </c>
      <c r="B562">
        <v>3.5999999999999999E-3</v>
      </c>
      <c r="D562" t="s">
        <v>6</v>
      </c>
      <c r="E562" t="s">
        <v>106</v>
      </c>
      <c r="F562" t="s">
        <v>40</v>
      </c>
      <c r="G562" t="s">
        <v>41</v>
      </c>
      <c r="H562" t="s">
        <v>42</v>
      </c>
    </row>
    <row r="564" spans="1:9" x14ac:dyDescent="0.2">
      <c r="A564" t="s">
        <v>1</v>
      </c>
      <c r="B564" t="s">
        <v>156</v>
      </c>
    </row>
    <row r="565" spans="1:9" x14ac:dyDescent="0.2">
      <c r="A565" t="s">
        <v>2</v>
      </c>
      <c r="B565">
        <v>1</v>
      </c>
    </row>
    <row r="566" spans="1:9" x14ac:dyDescent="0.2">
      <c r="A566" t="s">
        <v>3</v>
      </c>
      <c r="B566" t="s">
        <v>154</v>
      </c>
    </row>
    <row r="567" spans="1:9" x14ac:dyDescent="0.2">
      <c r="A567" t="s">
        <v>4</v>
      </c>
      <c r="B567" t="s">
        <v>157</v>
      </c>
    </row>
    <row r="568" spans="1:9" x14ac:dyDescent="0.2">
      <c r="A568" t="s">
        <v>5</v>
      </c>
      <c r="B568" t="s">
        <v>6</v>
      </c>
    </row>
    <row r="569" spans="1:9" x14ac:dyDescent="0.2">
      <c r="A569" t="s">
        <v>7</v>
      </c>
      <c r="B569" t="s">
        <v>8</v>
      </c>
    </row>
    <row r="570" spans="1:9" x14ac:dyDescent="0.2">
      <c r="A570" t="s">
        <v>9</v>
      </c>
    </row>
    <row r="571" spans="1:9" x14ac:dyDescent="0.2">
      <c r="A571" t="s">
        <v>10</v>
      </c>
      <c r="B571" t="s">
        <v>11</v>
      </c>
      <c r="C571" t="s">
        <v>4</v>
      </c>
      <c r="D571" t="s">
        <v>5</v>
      </c>
      <c r="E571" t="s">
        <v>7</v>
      </c>
      <c r="F571" t="s">
        <v>12</v>
      </c>
      <c r="G571" t="s">
        <v>13</v>
      </c>
      <c r="H571" t="s">
        <v>14</v>
      </c>
      <c r="I571" t="s">
        <v>3</v>
      </c>
    </row>
    <row r="572" spans="1:9" x14ac:dyDescent="0.2">
      <c r="A572" t="s">
        <v>156</v>
      </c>
      <c r="B572">
        <v>1</v>
      </c>
      <c r="C572" t="s">
        <v>157</v>
      </c>
      <c r="D572" t="s">
        <v>6</v>
      </c>
      <c r="E572" t="s">
        <v>8</v>
      </c>
      <c r="G572" t="s">
        <v>15</v>
      </c>
      <c r="H572" t="s">
        <v>23</v>
      </c>
    </row>
    <row r="573" spans="1:9" x14ac:dyDescent="0.2">
      <c r="A573" t="s">
        <v>16</v>
      </c>
      <c r="B573">
        <v>3.1</v>
      </c>
      <c r="C573" t="s">
        <v>17</v>
      </c>
      <c r="D573" t="s">
        <v>6</v>
      </c>
      <c r="E573" t="s">
        <v>103</v>
      </c>
      <c r="G573" t="s">
        <v>19</v>
      </c>
      <c r="H573" t="s">
        <v>20</v>
      </c>
    </row>
    <row r="574" spans="1:9" x14ac:dyDescent="0.2">
      <c r="A574" t="s">
        <v>196</v>
      </c>
      <c r="B574">
        <v>14.1</v>
      </c>
      <c r="C574" t="s">
        <v>197</v>
      </c>
      <c r="D574" t="s">
        <v>6</v>
      </c>
      <c r="E574" t="s">
        <v>104</v>
      </c>
      <c r="G574" t="s">
        <v>19</v>
      </c>
      <c r="H574" t="s">
        <v>23</v>
      </c>
    </row>
    <row r="575" spans="1:9" x14ac:dyDescent="0.2">
      <c r="A575" t="s">
        <v>77</v>
      </c>
      <c r="B575">
        <v>1.7167999999999999E-2</v>
      </c>
      <c r="C575" t="s">
        <v>76</v>
      </c>
      <c r="D575" t="s">
        <v>6</v>
      </c>
      <c r="E575" t="s">
        <v>105</v>
      </c>
      <c r="G575" t="s">
        <v>19</v>
      </c>
      <c r="H575" t="s">
        <v>23</v>
      </c>
    </row>
    <row r="576" spans="1:9" x14ac:dyDescent="0.2">
      <c r="A576" t="s">
        <v>24</v>
      </c>
      <c r="B576">
        <v>1.2E-2</v>
      </c>
      <c r="C576" t="s">
        <v>25</v>
      </c>
      <c r="D576" t="s">
        <v>6</v>
      </c>
      <c r="E576" t="s">
        <v>105</v>
      </c>
      <c r="G576" t="s">
        <v>19</v>
      </c>
      <c r="H576" t="s">
        <v>20</v>
      </c>
    </row>
    <row r="577" spans="1:9" x14ac:dyDescent="0.2">
      <c r="A577" t="s">
        <v>26</v>
      </c>
      <c r="B577">
        <v>1.7999999999999999E-2</v>
      </c>
      <c r="C577" t="s">
        <v>27</v>
      </c>
      <c r="D577" t="s">
        <v>6</v>
      </c>
      <c r="E577" t="s">
        <v>105</v>
      </c>
      <c r="G577" t="s">
        <v>19</v>
      </c>
      <c r="H577" t="s">
        <v>20</v>
      </c>
    </row>
    <row r="578" spans="1:9" x14ac:dyDescent="0.2">
      <c r="A578" t="s">
        <v>24</v>
      </c>
      <c r="B578">
        <v>1.6E-2</v>
      </c>
      <c r="C578" t="s">
        <v>25</v>
      </c>
      <c r="D578" t="s">
        <v>6</v>
      </c>
      <c r="E578" t="s">
        <v>105</v>
      </c>
      <c r="G578" t="s">
        <v>19</v>
      </c>
      <c r="H578" t="s">
        <v>20</v>
      </c>
    </row>
    <row r="579" spans="1:9" x14ac:dyDescent="0.2">
      <c r="A579" t="s">
        <v>24</v>
      </c>
      <c r="B579">
        <v>2.9999999999999997E-4</v>
      </c>
      <c r="C579" t="s">
        <v>25</v>
      </c>
      <c r="D579" t="s">
        <v>6</v>
      </c>
      <c r="E579" t="s">
        <v>105</v>
      </c>
      <c r="G579" t="s">
        <v>19</v>
      </c>
      <c r="H579" t="s">
        <v>20</v>
      </c>
    </row>
    <row r="580" spans="1:9" x14ac:dyDescent="0.2">
      <c r="A580" t="s">
        <v>34</v>
      </c>
      <c r="B580">
        <v>29</v>
      </c>
      <c r="C580" t="s">
        <v>35</v>
      </c>
      <c r="D580" t="s">
        <v>6</v>
      </c>
      <c r="E580" t="s">
        <v>105</v>
      </c>
      <c r="G580" t="s">
        <v>19</v>
      </c>
      <c r="H580" t="s">
        <v>20</v>
      </c>
    </row>
    <row r="581" spans="1:9" x14ac:dyDescent="0.2">
      <c r="A581" t="s">
        <v>36</v>
      </c>
      <c r="B581">
        <v>-2.6100000000000002E-2</v>
      </c>
      <c r="C581" t="s">
        <v>37</v>
      </c>
      <c r="D581" t="s">
        <v>21</v>
      </c>
      <c r="E581" t="s">
        <v>106</v>
      </c>
      <c r="G581" t="s">
        <v>19</v>
      </c>
      <c r="H581" t="s">
        <v>20</v>
      </c>
    </row>
    <row r="582" spans="1:9" x14ac:dyDescent="0.2">
      <c r="A582" t="s">
        <v>39</v>
      </c>
      <c r="B582">
        <v>2.8999999999999998E-3</v>
      </c>
      <c r="D582" t="s">
        <v>6</v>
      </c>
      <c r="E582" t="s">
        <v>106</v>
      </c>
      <c r="F582" t="s">
        <v>40</v>
      </c>
      <c r="G582" t="s">
        <v>41</v>
      </c>
      <c r="H582" t="s">
        <v>42</v>
      </c>
    </row>
    <row r="584" spans="1:9" x14ac:dyDescent="0.2">
      <c r="A584" t="s">
        <v>1</v>
      </c>
      <c r="B584" t="s">
        <v>158</v>
      </c>
    </row>
    <row r="585" spans="1:9" x14ac:dyDescent="0.2">
      <c r="A585" t="s">
        <v>2</v>
      </c>
      <c r="B585">
        <v>1</v>
      </c>
    </row>
    <row r="586" spans="1:9" x14ac:dyDescent="0.2">
      <c r="A586" t="s">
        <v>3</v>
      </c>
      <c r="B586" t="s">
        <v>154</v>
      </c>
    </row>
    <row r="587" spans="1:9" x14ac:dyDescent="0.2">
      <c r="A587" t="s">
        <v>4</v>
      </c>
      <c r="B587" t="s">
        <v>159</v>
      </c>
    </row>
    <row r="588" spans="1:9" x14ac:dyDescent="0.2">
      <c r="A588" t="s">
        <v>5</v>
      </c>
      <c r="B588" t="s">
        <v>6</v>
      </c>
    </row>
    <row r="589" spans="1:9" x14ac:dyDescent="0.2">
      <c r="A589" t="s">
        <v>7</v>
      </c>
      <c r="B589" t="s">
        <v>8</v>
      </c>
    </row>
    <row r="590" spans="1:9" x14ac:dyDescent="0.2">
      <c r="A590" t="s">
        <v>9</v>
      </c>
    </row>
    <row r="591" spans="1:9" x14ac:dyDescent="0.2">
      <c r="A591" t="s">
        <v>10</v>
      </c>
      <c r="B591" t="s">
        <v>11</v>
      </c>
      <c r="C591" t="s">
        <v>4</v>
      </c>
      <c r="D591" t="s">
        <v>5</v>
      </c>
      <c r="E591" t="s">
        <v>7</v>
      </c>
      <c r="F591" t="s">
        <v>12</v>
      </c>
      <c r="G591" t="s">
        <v>13</v>
      </c>
      <c r="H591" t="s">
        <v>14</v>
      </c>
      <c r="I591" t="s">
        <v>3</v>
      </c>
    </row>
    <row r="592" spans="1:9" x14ac:dyDescent="0.2">
      <c r="A592" t="s">
        <v>158</v>
      </c>
      <c r="B592">
        <v>1</v>
      </c>
      <c r="C592" t="s">
        <v>159</v>
      </c>
      <c r="D592" t="s">
        <v>6</v>
      </c>
      <c r="E592" t="s">
        <v>8</v>
      </c>
      <c r="G592" t="s">
        <v>15</v>
      </c>
      <c r="H592" t="s">
        <v>23</v>
      </c>
    </row>
    <row r="593" spans="1:8" x14ac:dyDescent="0.2">
      <c r="A593" t="s">
        <v>16</v>
      </c>
      <c r="B593">
        <v>1.1000000000000001</v>
      </c>
      <c r="C593" t="s">
        <v>17</v>
      </c>
      <c r="D593" t="s">
        <v>6</v>
      </c>
      <c r="E593" t="s">
        <v>103</v>
      </c>
      <c r="G593" t="s">
        <v>19</v>
      </c>
      <c r="H593" t="s">
        <v>20</v>
      </c>
    </row>
    <row r="594" spans="1:8" x14ac:dyDescent="0.2">
      <c r="A594" t="s">
        <v>196</v>
      </c>
      <c r="B594">
        <v>16.600000000000001</v>
      </c>
      <c r="C594" t="s">
        <v>197</v>
      </c>
      <c r="D594" t="s">
        <v>6</v>
      </c>
      <c r="E594" t="s">
        <v>104</v>
      </c>
      <c r="G594" t="s">
        <v>19</v>
      </c>
      <c r="H594" t="s">
        <v>23</v>
      </c>
    </row>
    <row r="595" spans="1:8" x14ac:dyDescent="0.2">
      <c r="A595" t="s">
        <v>74</v>
      </c>
      <c r="B595">
        <v>3.3799999999999997E-2</v>
      </c>
      <c r="C595" t="s">
        <v>75</v>
      </c>
      <c r="D595" t="s">
        <v>6</v>
      </c>
      <c r="E595" t="s">
        <v>105</v>
      </c>
      <c r="G595" t="s">
        <v>19</v>
      </c>
      <c r="H595" t="s">
        <v>23</v>
      </c>
    </row>
    <row r="596" spans="1:8" x14ac:dyDescent="0.2">
      <c r="A596" t="s">
        <v>24</v>
      </c>
      <c r="B596">
        <v>0.06</v>
      </c>
      <c r="C596" t="s">
        <v>25</v>
      </c>
      <c r="D596" t="s">
        <v>6</v>
      </c>
      <c r="E596" t="s">
        <v>105</v>
      </c>
      <c r="G596" t="s">
        <v>19</v>
      </c>
      <c r="H596" t="s">
        <v>20</v>
      </c>
    </row>
    <row r="597" spans="1:8" x14ac:dyDescent="0.2">
      <c r="A597" t="s">
        <v>26</v>
      </c>
      <c r="B597">
        <v>3.5000000000000003E-2</v>
      </c>
      <c r="C597" t="s">
        <v>27</v>
      </c>
      <c r="D597" t="s">
        <v>6</v>
      </c>
      <c r="E597" t="s">
        <v>105</v>
      </c>
      <c r="G597" t="s">
        <v>19</v>
      </c>
      <c r="H597" t="s">
        <v>20</v>
      </c>
    </row>
    <row r="598" spans="1:8" x14ac:dyDescent="0.2">
      <c r="A598" t="s">
        <v>24</v>
      </c>
      <c r="B598">
        <v>2.6666666669999999E-2</v>
      </c>
      <c r="C598" t="s">
        <v>25</v>
      </c>
      <c r="D598" t="s">
        <v>6</v>
      </c>
      <c r="E598" t="s">
        <v>105</v>
      </c>
      <c r="G598" t="s">
        <v>19</v>
      </c>
      <c r="H598" t="s">
        <v>20</v>
      </c>
    </row>
    <row r="599" spans="1:8" x14ac:dyDescent="0.2">
      <c r="A599" t="s">
        <v>24</v>
      </c>
      <c r="B599">
        <v>1.4999999999999999E-2</v>
      </c>
      <c r="C599" t="s">
        <v>25</v>
      </c>
      <c r="D599" t="s">
        <v>6</v>
      </c>
      <c r="E599" t="s">
        <v>105</v>
      </c>
      <c r="G599" t="s">
        <v>19</v>
      </c>
      <c r="H599" t="s">
        <v>20</v>
      </c>
    </row>
    <row r="600" spans="1:8" x14ac:dyDescent="0.2">
      <c r="A600" t="s">
        <v>160</v>
      </c>
      <c r="B600">
        <v>0.25</v>
      </c>
      <c r="C600" t="s">
        <v>161</v>
      </c>
      <c r="D600" t="s">
        <v>21</v>
      </c>
      <c r="E600" t="s">
        <v>105</v>
      </c>
      <c r="G600" t="s">
        <v>19</v>
      </c>
      <c r="H600" t="s">
        <v>20</v>
      </c>
    </row>
    <row r="601" spans="1:8" x14ac:dyDescent="0.2">
      <c r="A601" t="s">
        <v>34</v>
      </c>
      <c r="B601">
        <v>40</v>
      </c>
      <c r="C601" t="s">
        <v>35</v>
      </c>
      <c r="D601" t="s">
        <v>6</v>
      </c>
      <c r="E601" t="s">
        <v>105</v>
      </c>
      <c r="G601" t="s">
        <v>19</v>
      </c>
      <c r="H601" t="s">
        <v>20</v>
      </c>
    </row>
    <row r="602" spans="1:8" x14ac:dyDescent="0.2">
      <c r="A602" t="s">
        <v>36</v>
      </c>
      <c r="B602">
        <v>-3.5999999999999997E-2</v>
      </c>
      <c r="C602" t="s">
        <v>37</v>
      </c>
      <c r="D602" t="s">
        <v>21</v>
      </c>
      <c r="E602" t="s">
        <v>106</v>
      </c>
      <c r="G602" t="s">
        <v>19</v>
      </c>
      <c r="H602" t="s">
        <v>20</v>
      </c>
    </row>
    <row r="603" spans="1:8" x14ac:dyDescent="0.2">
      <c r="A603" t="s">
        <v>39</v>
      </c>
      <c r="B603">
        <v>4.0000000000000001E-3</v>
      </c>
      <c r="D603" t="s">
        <v>6</v>
      </c>
      <c r="E603" t="s">
        <v>106</v>
      </c>
      <c r="F603" t="s">
        <v>40</v>
      </c>
      <c r="G603" t="s">
        <v>41</v>
      </c>
      <c r="H603" t="s">
        <v>42</v>
      </c>
    </row>
    <row r="605" spans="1:8" x14ac:dyDescent="0.2">
      <c r="A605" t="s">
        <v>1</v>
      </c>
      <c r="B605" t="s">
        <v>162</v>
      </c>
    </row>
    <row r="606" spans="1:8" x14ac:dyDescent="0.2">
      <c r="A606" t="s">
        <v>2</v>
      </c>
      <c r="B606">
        <v>1</v>
      </c>
    </row>
    <row r="607" spans="1:8" x14ac:dyDescent="0.2">
      <c r="A607" t="s">
        <v>3</v>
      </c>
      <c r="B607" t="s">
        <v>154</v>
      </c>
    </row>
    <row r="608" spans="1:8" x14ac:dyDescent="0.2">
      <c r="A608" t="s">
        <v>4</v>
      </c>
      <c r="B608" t="s">
        <v>163</v>
      </c>
    </row>
    <row r="609" spans="1:9" x14ac:dyDescent="0.2">
      <c r="A609" t="s">
        <v>5</v>
      </c>
      <c r="B609" t="s">
        <v>6</v>
      </c>
    </row>
    <row r="610" spans="1:9" x14ac:dyDescent="0.2">
      <c r="A610" t="s">
        <v>7</v>
      </c>
      <c r="B610" t="s">
        <v>8</v>
      </c>
    </row>
    <row r="611" spans="1:9" x14ac:dyDescent="0.2">
      <c r="A611" t="s">
        <v>9</v>
      </c>
    </row>
    <row r="612" spans="1:9" x14ac:dyDescent="0.2">
      <c r="A612" t="s">
        <v>10</v>
      </c>
      <c r="B612" t="s">
        <v>11</v>
      </c>
      <c r="C612" t="s">
        <v>4</v>
      </c>
      <c r="D612" t="s">
        <v>5</v>
      </c>
      <c r="E612" t="s">
        <v>7</v>
      </c>
      <c r="F612" t="s">
        <v>12</v>
      </c>
      <c r="G612" t="s">
        <v>13</v>
      </c>
      <c r="H612" t="s">
        <v>14</v>
      </c>
      <c r="I612" t="s">
        <v>3</v>
      </c>
    </row>
    <row r="613" spans="1:9" x14ac:dyDescent="0.2">
      <c r="A613" t="s">
        <v>162</v>
      </c>
      <c r="B613">
        <v>1</v>
      </c>
      <c r="C613" t="s">
        <v>163</v>
      </c>
      <c r="D613" t="s">
        <v>6</v>
      </c>
      <c r="E613" t="s">
        <v>8</v>
      </c>
      <c r="G613" t="s">
        <v>15</v>
      </c>
      <c r="H613" t="s">
        <v>23</v>
      </c>
    </row>
    <row r="614" spans="1:9" x14ac:dyDescent="0.2">
      <c r="A614" t="s">
        <v>16</v>
      </c>
      <c r="B614">
        <v>1.8</v>
      </c>
      <c r="C614" t="s">
        <v>17</v>
      </c>
      <c r="D614" t="s">
        <v>6</v>
      </c>
      <c r="E614" t="s">
        <v>103</v>
      </c>
      <c r="G614" t="s">
        <v>19</v>
      </c>
      <c r="H614" t="s">
        <v>20</v>
      </c>
    </row>
    <row r="615" spans="1:9" x14ac:dyDescent="0.2">
      <c r="A615" t="s">
        <v>196</v>
      </c>
      <c r="B615">
        <v>15.9</v>
      </c>
      <c r="C615" t="s">
        <v>197</v>
      </c>
      <c r="D615" t="s">
        <v>6</v>
      </c>
      <c r="E615" t="s">
        <v>104</v>
      </c>
      <c r="G615" t="s">
        <v>19</v>
      </c>
      <c r="H615" t="s">
        <v>23</v>
      </c>
    </row>
    <row r="616" spans="1:9" x14ac:dyDescent="0.2">
      <c r="A616" t="s">
        <v>90</v>
      </c>
      <c r="B616">
        <v>0.05</v>
      </c>
      <c r="C616" t="s">
        <v>91</v>
      </c>
      <c r="D616" t="s">
        <v>6</v>
      </c>
      <c r="E616" t="s">
        <v>105</v>
      </c>
      <c r="G616" t="s">
        <v>19</v>
      </c>
      <c r="H616" t="s">
        <v>23</v>
      </c>
    </row>
    <row r="617" spans="1:9" x14ac:dyDescent="0.2">
      <c r="A617" t="s">
        <v>24</v>
      </c>
      <c r="B617">
        <v>0.09</v>
      </c>
      <c r="C617" t="s">
        <v>25</v>
      </c>
      <c r="D617" t="s">
        <v>6</v>
      </c>
      <c r="E617" t="s">
        <v>105</v>
      </c>
      <c r="G617" t="s">
        <v>19</v>
      </c>
      <c r="H617" t="s">
        <v>20</v>
      </c>
    </row>
    <row r="618" spans="1:9" x14ac:dyDescent="0.2">
      <c r="A618" t="s">
        <v>26</v>
      </c>
      <c r="B618">
        <v>5.2499999999999998E-2</v>
      </c>
      <c r="C618" t="s">
        <v>27</v>
      </c>
      <c r="D618" t="s">
        <v>6</v>
      </c>
      <c r="E618" t="s">
        <v>105</v>
      </c>
      <c r="G618" t="s">
        <v>19</v>
      </c>
      <c r="H618" t="s">
        <v>20</v>
      </c>
    </row>
    <row r="619" spans="1:9" x14ac:dyDescent="0.2">
      <c r="A619" t="s">
        <v>24</v>
      </c>
      <c r="B619">
        <v>0.04</v>
      </c>
      <c r="C619" t="s">
        <v>25</v>
      </c>
      <c r="D619" t="s">
        <v>6</v>
      </c>
      <c r="E619" t="s">
        <v>105</v>
      </c>
      <c r="G619" t="s">
        <v>19</v>
      </c>
      <c r="H619" t="s">
        <v>20</v>
      </c>
    </row>
    <row r="620" spans="1:9" x14ac:dyDescent="0.2">
      <c r="A620" t="s">
        <v>45</v>
      </c>
      <c r="B620">
        <v>0.3</v>
      </c>
      <c r="C620" t="s">
        <v>46</v>
      </c>
      <c r="D620" t="s">
        <v>21</v>
      </c>
      <c r="E620" t="s">
        <v>105</v>
      </c>
      <c r="G620" t="s">
        <v>19</v>
      </c>
      <c r="H620" t="s">
        <v>20</v>
      </c>
    </row>
    <row r="621" spans="1:9" x14ac:dyDescent="0.2">
      <c r="A621" t="s">
        <v>24</v>
      </c>
      <c r="B621">
        <v>2.2499999999999999E-2</v>
      </c>
      <c r="C621" t="s">
        <v>25</v>
      </c>
      <c r="D621" t="s">
        <v>6</v>
      </c>
      <c r="E621" t="s">
        <v>105</v>
      </c>
      <c r="G621" t="s">
        <v>19</v>
      </c>
      <c r="H621" t="s">
        <v>20</v>
      </c>
    </row>
    <row r="622" spans="1:9" x14ac:dyDescent="0.2">
      <c r="A622" t="s">
        <v>160</v>
      </c>
      <c r="B622">
        <v>0.375</v>
      </c>
      <c r="C622" t="s">
        <v>161</v>
      </c>
      <c r="D622" t="s">
        <v>21</v>
      </c>
      <c r="E622" t="s">
        <v>105</v>
      </c>
      <c r="G622" t="s">
        <v>19</v>
      </c>
      <c r="H622" t="s">
        <v>20</v>
      </c>
    </row>
    <row r="623" spans="1:9" x14ac:dyDescent="0.2">
      <c r="A623" t="s">
        <v>34</v>
      </c>
      <c r="B623">
        <v>60</v>
      </c>
      <c r="C623" t="s">
        <v>35</v>
      </c>
      <c r="D623" t="s">
        <v>6</v>
      </c>
      <c r="E623" t="s">
        <v>105</v>
      </c>
      <c r="G623" t="s">
        <v>19</v>
      </c>
      <c r="H623" t="s">
        <v>20</v>
      </c>
    </row>
    <row r="624" spans="1:9" x14ac:dyDescent="0.2">
      <c r="A624" t="s">
        <v>36</v>
      </c>
      <c r="B624">
        <v>-5.3999999999999999E-2</v>
      </c>
      <c r="C624" t="s">
        <v>37</v>
      </c>
      <c r="D624" t="s">
        <v>21</v>
      </c>
      <c r="E624" t="s">
        <v>106</v>
      </c>
      <c r="G624" t="s">
        <v>19</v>
      </c>
      <c r="H624" t="s">
        <v>20</v>
      </c>
    </row>
    <row r="625" spans="1:9" x14ac:dyDescent="0.2">
      <c r="A625" t="s">
        <v>39</v>
      </c>
      <c r="B625">
        <v>6.0000000000000001E-3</v>
      </c>
      <c r="D625" t="s">
        <v>6</v>
      </c>
      <c r="E625" t="s">
        <v>106</v>
      </c>
      <c r="F625" t="s">
        <v>40</v>
      </c>
      <c r="G625" t="s">
        <v>41</v>
      </c>
      <c r="H625" t="s">
        <v>42</v>
      </c>
    </row>
    <row r="627" spans="1:9" x14ac:dyDescent="0.2">
      <c r="A627" t="s">
        <v>1</v>
      </c>
      <c r="B627" t="s">
        <v>164</v>
      </c>
    </row>
    <row r="628" spans="1:9" x14ac:dyDescent="0.2">
      <c r="A628" t="s">
        <v>2</v>
      </c>
      <c r="B628">
        <v>1</v>
      </c>
    </row>
    <row r="629" spans="1:9" x14ac:dyDescent="0.2">
      <c r="A629" t="s">
        <v>3</v>
      </c>
      <c r="B629" t="s">
        <v>154</v>
      </c>
    </row>
    <row r="630" spans="1:9" x14ac:dyDescent="0.2">
      <c r="A630" t="s">
        <v>4</v>
      </c>
      <c r="B630" t="s">
        <v>165</v>
      </c>
    </row>
    <row r="631" spans="1:9" x14ac:dyDescent="0.2">
      <c r="A631" t="s">
        <v>5</v>
      </c>
      <c r="B631" t="s">
        <v>6</v>
      </c>
    </row>
    <row r="632" spans="1:9" x14ac:dyDescent="0.2">
      <c r="A632" t="s">
        <v>7</v>
      </c>
      <c r="B632" t="s">
        <v>8</v>
      </c>
    </row>
    <row r="633" spans="1:9" x14ac:dyDescent="0.2">
      <c r="A633" t="s">
        <v>9</v>
      </c>
    </row>
    <row r="634" spans="1:9" x14ac:dyDescent="0.2">
      <c r="A634" t="s">
        <v>10</v>
      </c>
      <c r="B634" t="s">
        <v>11</v>
      </c>
      <c r="C634" t="s">
        <v>4</v>
      </c>
      <c r="D634" t="s">
        <v>5</v>
      </c>
      <c r="E634" t="s">
        <v>7</v>
      </c>
      <c r="F634" t="s">
        <v>12</v>
      </c>
      <c r="G634" t="s">
        <v>13</v>
      </c>
      <c r="H634" t="s">
        <v>14</v>
      </c>
      <c r="I634" t="s">
        <v>3</v>
      </c>
    </row>
    <row r="635" spans="1:9" x14ac:dyDescent="0.2">
      <c r="A635" t="s">
        <v>164</v>
      </c>
      <c r="B635">
        <v>1</v>
      </c>
      <c r="C635" t="s">
        <v>165</v>
      </c>
      <c r="D635" t="s">
        <v>6</v>
      </c>
      <c r="E635" t="s">
        <v>8</v>
      </c>
      <c r="G635" t="s">
        <v>15</v>
      </c>
      <c r="H635" t="s">
        <v>23</v>
      </c>
    </row>
    <row r="636" spans="1:9" x14ac:dyDescent="0.2">
      <c r="A636" t="s">
        <v>16</v>
      </c>
      <c r="B636">
        <v>1.8</v>
      </c>
      <c r="C636" t="s">
        <v>17</v>
      </c>
      <c r="D636" t="s">
        <v>6</v>
      </c>
      <c r="E636" t="s">
        <v>103</v>
      </c>
      <c r="G636" t="s">
        <v>19</v>
      </c>
      <c r="H636" t="s">
        <v>20</v>
      </c>
    </row>
    <row r="637" spans="1:9" x14ac:dyDescent="0.2">
      <c r="A637" t="s">
        <v>196</v>
      </c>
      <c r="B637">
        <v>15.9</v>
      </c>
      <c r="C637" t="s">
        <v>197</v>
      </c>
      <c r="D637" t="s">
        <v>6</v>
      </c>
      <c r="E637" t="s">
        <v>104</v>
      </c>
      <c r="G637" t="s">
        <v>19</v>
      </c>
      <c r="H637" t="s">
        <v>23</v>
      </c>
    </row>
    <row r="638" spans="1:9" x14ac:dyDescent="0.2">
      <c r="A638" t="s">
        <v>92</v>
      </c>
      <c r="B638">
        <v>0.05</v>
      </c>
      <c r="C638" t="s">
        <v>93</v>
      </c>
      <c r="D638" t="s">
        <v>6</v>
      </c>
      <c r="E638" t="s">
        <v>105</v>
      </c>
      <c r="G638" t="s">
        <v>19</v>
      </c>
      <c r="H638" t="s">
        <v>23</v>
      </c>
    </row>
    <row r="639" spans="1:9" x14ac:dyDescent="0.2">
      <c r="A639" t="s">
        <v>24</v>
      </c>
      <c r="B639">
        <v>0.09</v>
      </c>
      <c r="C639" t="s">
        <v>25</v>
      </c>
      <c r="D639" t="s">
        <v>6</v>
      </c>
      <c r="E639" t="s">
        <v>105</v>
      </c>
      <c r="G639" t="s">
        <v>19</v>
      </c>
      <c r="H639" t="s">
        <v>20</v>
      </c>
    </row>
    <row r="640" spans="1:9" x14ac:dyDescent="0.2">
      <c r="A640" t="s">
        <v>26</v>
      </c>
      <c r="B640">
        <v>5.2499999999999998E-2</v>
      </c>
      <c r="C640" t="s">
        <v>27</v>
      </c>
      <c r="D640" t="s">
        <v>6</v>
      </c>
      <c r="E640" t="s">
        <v>105</v>
      </c>
      <c r="G640" t="s">
        <v>19</v>
      </c>
      <c r="H640" t="s">
        <v>20</v>
      </c>
    </row>
    <row r="641" spans="1:9" x14ac:dyDescent="0.2">
      <c r="A641" t="s">
        <v>24</v>
      </c>
      <c r="B641">
        <v>0.04</v>
      </c>
      <c r="C641" t="s">
        <v>25</v>
      </c>
      <c r="D641" t="s">
        <v>6</v>
      </c>
      <c r="E641" t="s">
        <v>105</v>
      </c>
      <c r="G641" t="s">
        <v>19</v>
      </c>
      <c r="H641" t="s">
        <v>20</v>
      </c>
    </row>
    <row r="642" spans="1:9" x14ac:dyDescent="0.2">
      <c r="A642" t="s">
        <v>24</v>
      </c>
      <c r="B642">
        <v>2.2499999999999999E-2</v>
      </c>
      <c r="C642" t="s">
        <v>25</v>
      </c>
      <c r="D642" t="s">
        <v>6</v>
      </c>
      <c r="E642" t="s">
        <v>105</v>
      </c>
      <c r="G642" t="s">
        <v>19</v>
      </c>
      <c r="H642" t="s">
        <v>20</v>
      </c>
    </row>
    <row r="643" spans="1:9" x14ac:dyDescent="0.2">
      <c r="A643" t="s">
        <v>160</v>
      </c>
      <c r="B643">
        <v>0.375</v>
      </c>
      <c r="C643" t="s">
        <v>161</v>
      </c>
      <c r="D643" t="s">
        <v>21</v>
      </c>
      <c r="E643" t="s">
        <v>105</v>
      </c>
      <c r="G643" t="s">
        <v>19</v>
      </c>
      <c r="H643" t="s">
        <v>20</v>
      </c>
    </row>
    <row r="644" spans="1:9" x14ac:dyDescent="0.2">
      <c r="A644" t="s">
        <v>34</v>
      </c>
      <c r="B644">
        <v>60</v>
      </c>
      <c r="C644" t="s">
        <v>35</v>
      </c>
      <c r="D644" t="s">
        <v>6</v>
      </c>
      <c r="E644" t="s">
        <v>105</v>
      </c>
      <c r="G644" t="s">
        <v>19</v>
      </c>
      <c r="H644" t="s">
        <v>20</v>
      </c>
    </row>
    <row r="645" spans="1:9" x14ac:dyDescent="0.2">
      <c r="A645" t="s">
        <v>36</v>
      </c>
      <c r="B645">
        <v>-5.3999999999999999E-2</v>
      </c>
      <c r="C645" t="s">
        <v>37</v>
      </c>
      <c r="D645" t="s">
        <v>21</v>
      </c>
      <c r="E645" t="s">
        <v>106</v>
      </c>
      <c r="G645" t="s">
        <v>19</v>
      </c>
      <c r="H645" t="s">
        <v>20</v>
      </c>
    </row>
    <row r="646" spans="1:9" x14ac:dyDescent="0.2">
      <c r="A646" t="s">
        <v>39</v>
      </c>
      <c r="B646">
        <v>6.0000000000000001E-3</v>
      </c>
      <c r="D646" t="s">
        <v>6</v>
      </c>
      <c r="E646" t="s">
        <v>106</v>
      </c>
      <c r="F646" t="s">
        <v>40</v>
      </c>
      <c r="G646" t="s">
        <v>41</v>
      </c>
      <c r="H646" t="s">
        <v>42</v>
      </c>
    </row>
    <row r="648" spans="1:9" x14ac:dyDescent="0.2">
      <c r="A648" t="s">
        <v>1</v>
      </c>
      <c r="B648" t="s">
        <v>166</v>
      </c>
    </row>
    <row r="649" spans="1:9" x14ac:dyDescent="0.2">
      <c r="A649" t="s">
        <v>2</v>
      </c>
      <c r="B649">
        <v>1</v>
      </c>
    </row>
    <row r="650" spans="1:9" x14ac:dyDescent="0.2">
      <c r="A650" t="s">
        <v>3</v>
      </c>
      <c r="B650" t="s">
        <v>167</v>
      </c>
    </row>
    <row r="651" spans="1:9" x14ac:dyDescent="0.2">
      <c r="A651" t="s">
        <v>4</v>
      </c>
      <c r="B651" t="s">
        <v>168</v>
      </c>
    </row>
    <row r="652" spans="1:9" x14ac:dyDescent="0.2">
      <c r="A652" t="s">
        <v>5</v>
      </c>
      <c r="B652" t="s">
        <v>6</v>
      </c>
    </row>
    <row r="653" spans="1:9" x14ac:dyDescent="0.2">
      <c r="A653" t="s">
        <v>7</v>
      </c>
      <c r="B653" t="s">
        <v>8</v>
      </c>
    </row>
    <row r="654" spans="1:9" x14ac:dyDescent="0.2">
      <c r="A654" t="s">
        <v>9</v>
      </c>
    </row>
    <row r="655" spans="1:9" x14ac:dyDescent="0.2">
      <c r="A655" t="s">
        <v>10</v>
      </c>
      <c r="B655" t="s">
        <v>11</v>
      </c>
      <c r="C655" t="s">
        <v>4</v>
      </c>
      <c r="D655" t="s">
        <v>5</v>
      </c>
      <c r="E655" t="s">
        <v>7</v>
      </c>
      <c r="F655" t="s">
        <v>12</v>
      </c>
      <c r="G655" t="s">
        <v>13</v>
      </c>
      <c r="H655" t="s">
        <v>14</v>
      </c>
      <c r="I655" t="s">
        <v>3</v>
      </c>
    </row>
    <row r="656" spans="1:9" x14ac:dyDescent="0.2">
      <c r="A656" t="s">
        <v>166</v>
      </c>
      <c r="B656">
        <v>1</v>
      </c>
      <c r="C656" t="s">
        <v>168</v>
      </c>
      <c r="D656" t="s">
        <v>6</v>
      </c>
      <c r="E656" t="s">
        <v>8</v>
      </c>
      <c r="G656" t="s">
        <v>15</v>
      </c>
      <c r="H656" t="s">
        <v>23</v>
      </c>
    </row>
    <row r="657" spans="1:8" x14ac:dyDescent="0.2">
      <c r="A657" t="s">
        <v>16</v>
      </c>
      <c r="B657">
        <v>4.4000000000000004</v>
      </c>
      <c r="C657" t="s">
        <v>17</v>
      </c>
      <c r="D657" t="s">
        <v>6</v>
      </c>
      <c r="E657" t="s">
        <v>103</v>
      </c>
      <c r="G657" t="s">
        <v>19</v>
      </c>
      <c r="H657" t="s">
        <v>20</v>
      </c>
    </row>
    <row r="658" spans="1:8" x14ac:dyDescent="0.2">
      <c r="A658" t="s">
        <v>196</v>
      </c>
      <c r="B658">
        <v>35.200000000000003</v>
      </c>
      <c r="C658" t="s">
        <v>197</v>
      </c>
      <c r="D658" t="s">
        <v>6</v>
      </c>
      <c r="E658" t="s">
        <v>104</v>
      </c>
      <c r="G658" t="s">
        <v>19</v>
      </c>
      <c r="H658" t="s">
        <v>23</v>
      </c>
    </row>
    <row r="659" spans="1:8" x14ac:dyDescent="0.2">
      <c r="A659" t="s">
        <v>77</v>
      </c>
      <c r="B659">
        <v>3.5766666670000002E-2</v>
      </c>
      <c r="C659" t="s">
        <v>76</v>
      </c>
      <c r="D659" t="s">
        <v>6</v>
      </c>
      <c r="E659" t="s">
        <v>105</v>
      </c>
      <c r="G659" t="s">
        <v>19</v>
      </c>
      <c r="H659" t="s">
        <v>23</v>
      </c>
    </row>
    <row r="660" spans="1:8" x14ac:dyDescent="0.2">
      <c r="A660" t="s">
        <v>24</v>
      </c>
      <c r="B660">
        <v>2.5000000000000001E-2</v>
      </c>
      <c r="C660" t="s">
        <v>25</v>
      </c>
      <c r="D660" t="s">
        <v>6</v>
      </c>
      <c r="E660" t="s">
        <v>105</v>
      </c>
      <c r="G660" t="s">
        <v>19</v>
      </c>
      <c r="H660" t="s">
        <v>20</v>
      </c>
    </row>
    <row r="661" spans="1:8" x14ac:dyDescent="0.2">
      <c r="A661" t="s">
        <v>26</v>
      </c>
      <c r="B661">
        <v>3.7499999999999999E-2</v>
      </c>
      <c r="C661" t="s">
        <v>27</v>
      </c>
      <c r="D661" t="s">
        <v>6</v>
      </c>
      <c r="E661" t="s">
        <v>105</v>
      </c>
      <c r="G661" t="s">
        <v>19</v>
      </c>
      <c r="H661" t="s">
        <v>20</v>
      </c>
    </row>
    <row r="662" spans="1:8" x14ac:dyDescent="0.2">
      <c r="A662" t="s">
        <v>24</v>
      </c>
      <c r="B662">
        <v>3.3333333329999999E-2</v>
      </c>
      <c r="C662" t="s">
        <v>25</v>
      </c>
      <c r="D662" t="s">
        <v>6</v>
      </c>
      <c r="E662" t="s">
        <v>105</v>
      </c>
      <c r="G662" t="s">
        <v>19</v>
      </c>
      <c r="H662" t="s">
        <v>20</v>
      </c>
    </row>
    <row r="663" spans="1:8" x14ac:dyDescent="0.2">
      <c r="A663" t="s">
        <v>34</v>
      </c>
      <c r="B663">
        <v>60</v>
      </c>
      <c r="C663" t="s">
        <v>35</v>
      </c>
      <c r="D663" t="s">
        <v>6</v>
      </c>
      <c r="E663" t="s">
        <v>105</v>
      </c>
      <c r="G663" t="s">
        <v>19</v>
      </c>
      <c r="H663" t="s">
        <v>20</v>
      </c>
    </row>
    <row r="664" spans="1:8" x14ac:dyDescent="0.2">
      <c r="A664" t="s">
        <v>36</v>
      </c>
      <c r="B664">
        <v>-5.3999999999999999E-2</v>
      </c>
      <c r="C664" t="s">
        <v>37</v>
      </c>
      <c r="D664" t="s">
        <v>21</v>
      </c>
      <c r="E664" t="s">
        <v>106</v>
      </c>
      <c r="G664" t="s">
        <v>19</v>
      </c>
      <c r="H664" t="s">
        <v>20</v>
      </c>
    </row>
    <row r="665" spans="1:8" x14ac:dyDescent="0.2">
      <c r="A665" t="s">
        <v>39</v>
      </c>
      <c r="B665">
        <v>6.0000000000000001E-3</v>
      </c>
      <c r="D665" t="s">
        <v>6</v>
      </c>
      <c r="E665" t="s">
        <v>106</v>
      </c>
      <c r="F665" t="s">
        <v>40</v>
      </c>
      <c r="G665" t="s">
        <v>41</v>
      </c>
      <c r="H665" t="s">
        <v>42</v>
      </c>
    </row>
    <row r="667" spans="1:8" x14ac:dyDescent="0.2">
      <c r="A667" t="s">
        <v>1</v>
      </c>
      <c r="B667" t="s">
        <v>169</v>
      </c>
    </row>
    <row r="668" spans="1:8" x14ac:dyDescent="0.2">
      <c r="A668" t="s">
        <v>2</v>
      </c>
      <c r="B668">
        <v>1</v>
      </c>
    </row>
    <row r="669" spans="1:8" x14ac:dyDescent="0.2">
      <c r="A669" t="s">
        <v>3</v>
      </c>
      <c r="B669" t="s">
        <v>167</v>
      </c>
    </row>
    <row r="670" spans="1:8" x14ac:dyDescent="0.2">
      <c r="A670" t="s">
        <v>4</v>
      </c>
      <c r="B670" t="s">
        <v>170</v>
      </c>
    </row>
    <row r="671" spans="1:8" x14ac:dyDescent="0.2">
      <c r="A671" t="s">
        <v>5</v>
      </c>
      <c r="B671" t="s">
        <v>6</v>
      </c>
    </row>
    <row r="672" spans="1:8" x14ac:dyDescent="0.2">
      <c r="A672" t="s">
        <v>7</v>
      </c>
      <c r="B672" t="s">
        <v>8</v>
      </c>
    </row>
    <row r="673" spans="1:9" x14ac:dyDescent="0.2">
      <c r="A673" t="s">
        <v>9</v>
      </c>
    </row>
    <row r="674" spans="1:9" x14ac:dyDescent="0.2">
      <c r="A674" t="s">
        <v>10</v>
      </c>
      <c r="B674" t="s">
        <v>11</v>
      </c>
      <c r="C674" t="s">
        <v>4</v>
      </c>
      <c r="D674" t="s">
        <v>5</v>
      </c>
      <c r="E674" t="s">
        <v>7</v>
      </c>
      <c r="F674" t="s">
        <v>12</v>
      </c>
      <c r="G674" t="s">
        <v>13</v>
      </c>
      <c r="H674" t="s">
        <v>14</v>
      </c>
      <c r="I674" t="s">
        <v>3</v>
      </c>
    </row>
    <row r="675" spans="1:9" x14ac:dyDescent="0.2">
      <c r="A675" t="s">
        <v>169</v>
      </c>
      <c r="B675">
        <v>1</v>
      </c>
      <c r="C675" t="s">
        <v>170</v>
      </c>
      <c r="D675" t="s">
        <v>6</v>
      </c>
      <c r="E675" t="s">
        <v>8</v>
      </c>
      <c r="G675" t="s">
        <v>15</v>
      </c>
      <c r="H675" t="s">
        <v>23</v>
      </c>
    </row>
    <row r="676" spans="1:9" x14ac:dyDescent="0.2">
      <c r="A676" t="s">
        <v>16</v>
      </c>
      <c r="B676">
        <v>3.2</v>
      </c>
      <c r="C676" t="s">
        <v>17</v>
      </c>
      <c r="D676" t="s">
        <v>6</v>
      </c>
      <c r="E676" t="s">
        <v>103</v>
      </c>
      <c r="G676" t="s">
        <v>19</v>
      </c>
      <c r="H676" t="s">
        <v>20</v>
      </c>
    </row>
    <row r="677" spans="1:9" x14ac:dyDescent="0.2">
      <c r="A677" t="s">
        <v>196</v>
      </c>
      <c r="B677">
        <v>14.3</v>
      </c>
      <c r="C677" t="s">
        <v>197</v>
      </c>
      <c r="D677" t="s">
        <v>6</v>
      </c>
      <c r="E677" t="s">
        <v>104</v>
      </c>
      <c r="G677" t="s">
        <v>19</v>
      </c>
      <c r="H677" t="s">
        <v>23</v>
      </c>
    </row>
    <row r="678" spans="1:9" x14ac:dyDescent="0.2">
      <c r="A678" t="s">
        <v>77</v>
      </c>
      <c r="B678">
        <v>2.8613333330000001E-2</v>
      </c>
      <c r="C678" t="s">
        <v>76</v>
      </c>
      <c r="D678" t="s">
        <v>6</v>
      </c>
      <c r="E678" t="s">
        <v>105</v>
      </c>
      <c r="G678" t="s">
        <v>19</v>
      </c>
      <c r="H678" t="s">
        <v>23</v>
      </c>
    </row>
    <row r="679" spans="1:9" x14ac:dyDescent="0.2">
      <c r="A679" t="s">
        <v>24</v>
      </c>
      <c r="B679">
        <v>0.02</v>
      </c>
      <c r="C679" t="s">
        <v>25</v>
      </c>
      <c r="D679" t="s">
        <v>6</v>
      </c>
      <c r="E679" t="s">
        <v>105</v>
      </c>
      <c r="G679" t="s">
        <v>19</v>
      </c>
      <c r="H679" t="s">
        <v>20</v>
      </c>
    </row>
    <row r="680" spans="1:9" x14ac:dyDescent="0.2">
      <c r="A680" t="s">
        <v>26</v>
      </c>
      <c r="B680">
        <v>0.03</v>
      </c>
      <c r="C680" t="s">
        <v>27</v>
      </c>
      <c r="D680" t="s">
        <v>6</v>
      </c>
      <c r="E680" t="s">
        <v>105</v>
      </c>
      <c r="G680" t="s">
        <v>19</v>
      </c>
      <c r="H680" t="s">
        <v>20</v>
      </c>
    </row>
    <row r="681" spans="1:9" x14ac:dyDescent="0.2">
      <c r="A681" t="s">
        <v>24</v>
      </c>
      <c r="B681">
        <v>2.6666666669999999E-2</v>
      </c>
      <c r="C681" t="s">
        <v>25</v>
      </c>
      <c r="D681" t="s">
        <v>6</v>
      </c>
      <c r="E681" t="s">
        <v>105</v>
      </c>
      <c r="G681" t="s">
        <v>19</v>
      </c>
      <c r="H681" t="s">
        <v>20</v>
      </c>
    </row>
    <row r="682" spans="1:9" x14ac:dyDescent="0.2">
      <c r="A682" t="s">
        <v>34</v>
      </c>
      <c r="B682">
        <v>48</v>
      </c>
      <c r="C682" t="s">
        <v>35</v>
      </c>
      <c r="D682" t="s">
        <v>6</v>
      </c>
      <c r="E682" t="s">
        <v>105</v>
      </c>
      <c r="G682" t="s">
        <v>19</v>
      </c>
      <c r="H682" t="s">
        <v>20</v>
      </c>
    </row>
    <row r="683" spans="1:9" x14ac:dyDescent="0.2">
      <c r="A683" t="s">
        <v>36</v>
      </c>
      <c r="B683">
        <v>-4.3200000000000002E-2</v>
      </c>
      <c r="C683" t="s">
        <v>37</v>
      </c>
      <c r="D683" t="s">
        <v>21</v>
      </c>
      <c r="E683" t="s">
        <v>106</v>
      </c>
      <c r="G683" t="s">
        <v>19</v>
      </c>
      <c r="H683" t="s">
        <v>20</v>
      </c>
    </row>
    <row r="684" spans="1:9" x14ac:dyDescent="0.2">
      <c r="A684" t="s">
        <v>39</v>
      </c>
      <c r="B684">
        <v>4.7999999999999996E-3</v>
      </c>
      <c r="D684" t="s">
        <v>6</v>
      </c>
      <c r="E684" t="s">
        <v>106</v>
      </c>
      <c r="F684" t="s">
        <v>40</v>
      </c>
      <c r="G684" t="s">
        <v>41</v>
      </c>
      <c r="H684" t="s">
        <v>42</v>
      </c>
    </row>
    <row r="686" spans="1:9" x14ac:dyDescent="0.2">
      <c r="A686" t="s">
        <v>1</v>
      </c>
      <c r="B686" t="s">
        <v>171</v>
      </c>
    </row>
    <row r="687" spans="1:9" x14ac:dyDescent="0.2">
      <c r="A687" t="s">
        <v>2</v>
      </c>
      <c r="B687">
        <v>1</v>
      </c>
    </row>
    <row r="688" spans="1:9" x14ac:dyDescent="0.2">
      <c r="A688" t="s">
        <v>3</v>
      </c>
      <c r="B688" t="s">
        <v>167</v>
      </c>
    </row>
    <row r="689" spans="1:9" x14ac:dyDescent="0.2">
      <c r="A689" t="s">
        <v>4</v>
      </c>
      <c r="B689" t="s">
        <v>172</v>
      </c>
    </row>
    <row r="690" spans="1:9" x14ac:dyDescent="0.2">
      <c r="A690" t="s">
        <v>5</v>
      </c>
      <c r="B690" t="s">
        <v>6</v>
      </c>
    </row>
    <row r="691" spans="1:9" x14ac:dyDescent="0.2">
      <c r="A691" t="s">
        <v>7</v>
      </c>
      <c r="B691" t="s">
        <v>8</v>
      </c>
    </row>
    <row r="692" spans="1:9" x14ac:dyDescent="0.2">
      <c r="A692" t="s">
        <v>9</v>
      </c>
    </row>
    <row r="693" spans="1:9" x14ac:dyDescent="0.2">
      <c r="A693" t="s">
        <v>10</v>
      </c>
      <c r="B693" t="s">
        <v>11</v>
      </c>
      <c r="C693" t="s">
        <v>4</v>
      </c>
      <c r="D693" t="s">
        <v>5</v>
      </c>
      <c r="E693" t="s">
        <v>7</v>
      </c>
      <c r="F693" t="s">
        <v>12</v>
      </c>
      <c r="G693" t="s">
        <v>13</v>
      </c>
      <c r="H693" t="s">
        <v>14</v>
      </c>
      <c r="I693" t="s">
        <v>3</v>
      </c>
    </row>
    <row r="694" spans="1:9" x14ac:dyDescent="0.2">
      <c r="A694" t="s">
        <v>171</v>
      </c>
      <c r="B694">
        <v>1</v>
      </c>
      <c r="C694" t="s">
        <v>172</v>
      </c>
      <c r="D694" t="s">
        <v>6</v>
      </c>
      <c r="E694" t="s">
        <v>8</v>
      </c>
      <c r="G694" t="s">
        <v>15</v>
      </c>
      <c r="H694" t="s">
        <v>23</v>
      </c>
    </row>
    <row r="695" spans="1:9" x14ac:dyDescent="0.2">
      <c r="A695" t="s">
        <v>16</v>
      </c>
      <c r="B695">
        <v>2.7</v>
      </c>
      <c r="C695" t="s">
        <v>17</v>
      </c>
      <c r="D695" t="s">
        <v>6</v>
      </c>
      <c r="E695" t="s">
        <v>103</v>
      </c>
      <c r="G695" t="s">
        <v>19</v>
      </c>
      <c r="H695" t="s">
        <v>20</v>
      </c>
    </row>
    <row r="696" spans="1:9" x14ac:dyDescent="0.2">
      <c r="A696" t="s">
        <v>196</v>
      </c>
      <c r="B696">
        <v>21.3</v>
      </c>
      <c r="C696" t="s">
        <v>197</v>
      </c>
      <c r="D696" t="s">
        <v>6</v>
      </c>
      <c r="E696" t="s">
        <v>104</v>
      </c>
      <c r="G696" t="s">
        <v>19</v>
      </c>
      <c r="H696" t="s">
        <v>23</v>
      </c>
    </row>
    <row r="697" spans="1:9" x14ac:dyDescent="0.2">
      <c r="A697" t="s">
        <v>74</v>
      </c>
      <c r="B697">
        <v>2.4142857140000001E-2</v>
      </c>
      <c r="C697" t="s">
        <v>75</v>
      </c>
      <c r="D697" t="s">
        <v>6</v>
      </c>
      <c r="E697" t="s">
        <v>105</v>
      </c>
      <c r="G697" t="s">
        <v>19</v>
      </c>
      <c r="H697" t="s">
        <v>23</v>
      </c>
    </row>
    <row r="698" spans="1:9" x14ac:dyDescent="0.2">
      <c r="A698" t="s">
        <v>24</v>
      </c>
      <c r="B698">
        <v>4.2857142860000003E-2</v>
      </c>
      <c r="C698" t="s">
        <v>25</v>
      </c>
      <c r="D698" t="s">
        <v>6</v>
      </c>
      <c r="E698" t="s">
        <v>105</v>
      </c>
      <c r="G698" t="s">
        <v>19</v>
      </c>
      <c r="H698" t="s">
        <v>20</v>
      </c>
    </row>
    <row r="699" spans="1:9" x14ac:dyDescent="0.2">
      <c r="A699" t="s">
        <v>26</v>
      </c>
      <c r="B699">
        <v>2.5000000000000001E-2</v>
      </c>
      <c r="C699" t="s">
        <v>27</v>
      </c>
      <c r="D699" t="s">
        <v>6</v>
      </c>
      <c r="E699" t="s">
        <v>105</v>
      </c>
      <c r="G699" t="s">
        <v>19</v>
      </c>
      <c r="H699" t="s">
        <v>20</v>
      </c>
    </row>
    <row r="700" spans="1:9" x14ac:dyDescent="0.2">
      <c r="A700" t="s">
        <v>24</v>
      </c>
      <c r="B700">
        <v>1.9047619049999999E-2</v>
      </c>
      <c r="C700" t="s">
        <v>25</v>
      </c>
      <c r="D700" t="s">
        <v>6</v>
      </c>
      <c r="E700" t="s">
        <v>105</v>
      </c>
      <c r="G700" t="s">
        <v>19</v>
      </c>
      <c r="H700" t="s">
        <v>20</v>
      </c>
    </row>
    <row r="701" spans="1:9" x14ac:dyDescent="0.2">
      <c r="A701" t="s">
        <v>24</v>
      </c>
      <c r="B701">
        <v>1.071428571E-2</v>
      </c>
      <c r="C701" t="s">
        <v>25</v>
      </c>
      <c r="D701" t="s">
        <v>6</v>
      </c>
      <c r="E701" t="s">
        <v>105</v>
      </c>
      <c r="G701" t="s">
        <v>19</v>
      </c>
      <c r="H701" t="s">
        <v>20</v>
      </c>
    </row>
    <row r="702" spans="1:9" x14ac:dyDescent="0.2">
      <c r="A702" t="s">
        <v>160</v>
      </c>
      <c r="B702">
        <v>0.1785714286</v>
      </c>
      <c r="C702" t="s">
        <v>161</v>
      </c>
      <c r="D702" t="s">
        <v>21</v>
      </c>
      <c r="E702" t="s">
        <v>105</v>
      </c>
      <c r="G702" t="s">
        <v>19</v>
      </c>
      <c r="H702" t="s">
        <v>20</v>
      </c>
    </row>
    <row r="703" spans="1:9" x14ac:dyDescent="0.2">
      <c r="A703" t="s">
        <v>34</v>
      </c>
      <c r="B703">
        <v>29</v>
      </c>
      <c r="C703" t="s">
        <v>35</v>
      </c>
      <c r="D703" t="s">
        <v>6</v>
      </c>
      <c r="E703" t="s">
        <v>105</v>
      </c>
      <c r="G703" t="s">
        <v>19</v>
      </c>
      <c r="H703" t="s">
        <v>20</v>
      </c>
    </row>
    <row r="704" spans="1:9" x14ac:dyDescent="0.2">
      <c r="A704" t="s">
        <v>36</v>
      </c>
      <c r="B704">
        <v>-2.6100000000000002E-2</v>
      </c>
      <c r="C704" t="s">
        <v>37</v>
      </c>
      <c r="D704" t="s">
        <v>21</v>
      </c>
      <c r="E704" t="s">
        <v>106</v>
      </c>
      <c r="G704" t="s">
        <v>19</v>
      </c>
      <c r="H704" t="s">
        <v>20</v>
      </c>
    </row>
    <row r="705" spans="1:9" x14ac:dyDescent="0.2">
      <c r="A705" t="s">
        <v>39</v>
      </c>
      <c r="B705">
        <v>2.8999999999999998E-3</v>
      </c>
      <c r="D705" t="s">
        <v>6</v>
      </c>
      <c r="E705" t="s">
        <v>106</v>
      </c>
      <c r="F705" t="s">
        <v>40</v>
      </c>
      <c r="G705" t="s">
        <v>41</v>
      </c>
      <c r="H705" t="s">
        <v>42</v>
      </c>
    </row>
    <row r="707" spans="1:9" x14ac:dyDescent="0.2">
      <c r="A707" t="s">
        <v>1</v>
      </c>
      <c r="B707" t="s">
        <v>173</v>
      </c>
    </row>
    <row r="708" spans="1:9" x14ac:dyDescent="0.2">
      <c r="A708" t="s">
        <v>2</v>
      </c>
      <c r="B708">
        <v>1</v>
      </c>
    </row>
    <row r="709" spans="1:9" x14ac:dyDescent="0.2">
      <c r="A709" t="s">
        <v>3</v>
      </c>
      <c r="B709" t="s">
        <v>167</v>
      </c>
    </row>
    <row r="710" spans="1:9" x14ac:dyDescent="0.2">
      <c r="A710" t="s">
        <v>4</v>
      </c>
      <c r="B710" t="s">
        <v>174</v>
      </c>
    </row>
    <row r="711" spans="1:9" x14ac:dyDescent="0.2">
      <c r="A711" t="s">
        <v>5</v>
      </c>
      <c r="B711" t="s">
        <v>6</v>
      </c>
    </row>
    <row r="712" spans="1:9" x14ac:dyDescent="0.2">
      <c r="A712" t="s">
        <v>7</v>
      </c>
      <c r="B712" t="s">
        <v>8</v>
      </c>
    </row>
    <row r="713" spans="1:9" x14ac:dyDescent="0.2">
      <c r="A713" t="s">
        <v>9</v>
      </c>
    </row>
    <row r="714" spans="1:9" x14ac:dyDescent="0.2">
      <c r="A714" t="s">
        <v>10</v>
      </c>
      <c r="B714" t="s">
        <v>11</v>
      </c>
      <c r="C714" t="s">
        <v>4</v>
      </c>
      <c r="D714" t="s">
        <v>5</v>
      </c>
      <c r="E714" t="s">
        <v>7</v>
      </c>
      <c r="F714" t="s">
        <v>12</v>
      </c>
      <c r="G714" t="s">
        <v>13</v>
      </c>
      <c r="H714" t="s">
        <v>14</v>
      </c>
      <c r="I714" t="s">
        <v>3</v>
      </c>
    </row>
    <row r="715" spans="1:9" x14ac:dyDescent="0.2">
      <c r="A715" t="s">
        <v>173</v>
      </c>
      <c r="B715">
        <v>1</v>
      </c>
      <c r="C715" t="s">
        <v>174</v>
      </c>
      <c r="D715" t="s">
        <v>6</v>
      </c>
      <c r="E715" t="s">
        <v>8</v>
      </c>
      <c r="G715" t="s">
        <v>15</v>
      </c>
      <c r="H715" t="s">
        <v>23</v>
      </c>
    </row>
    <row r="716" spans="1:9" x14ac:dyDescent="0.2">
      <c r="A716" t="s">
        <v>16</v>
      </c>
      <c r="B716">
        <v>3.2</v>
      </c>
      <c r="C716" t="s">
        <v>17</v>
      </c>
      <c r="D716" t="s">
        <v>6</v>
      </c>
      <c r="E716" t="s">
        <v>103</v>
      </c>
      <c r="G716" t="s">
        <v>19</v>
      </c>
      <c r="H716" t="s">
        <v>20</v>
      </c>
    </row>
    <row r="717" spans="1:9" x14ac:dyDescent="0.2">
      <c r="A717" t="s">
        <v>196</v>
      </c>
      <c r="B717">
        <v>24.4</v>
      </c>
      <c r="C717" t="s">
        <v>197</v>
      </c>
      <c r="D717" t="s">
        <v>6</v>
      </c>
      <c r="E717" t="s">
        <v>104</v>
      </c>
      <c r="G717" t="s">
        <v>19</v>
      </c>
      <c r="H717" t="s">
        <v>23</v>
      </c>
    </row>
    <row r="718" spans="1:9" x14ac:dyDescent="0.2">
      <c r="A718" t="s">
        <v>90</v>
      </c>
      <c r="B718">
        <v>0.03</v>
      </c>
      <c r="C718" t="s">
        <v>91</v>
      </c>
      <c r="D718" t="s">
        <v>6</v>
      </c>
      <c r="E718" t="s">
        <v>105</v>
      </c>
      <c r="G718" t="s">
        <v>19</v>
      </c>
      <c r="H718" t="s">
        <v>23</v>
      </c>
    </row>
    <row r="719" spans="1:9" x14ac:dyDescent="0.2">
      <c r="A719" t="s">
        <v>24</v>
      </c>
      <c r="B719">
        <v>5.3999999999999999E-2</v>
      </c>
      <c r="C719" t="s">
        <v>25</v>
      </c>
      <c r="D719" t="s">
        <v>6</v>
      </c>
      <c r="E719" t="s">
        <v>105</v>
      </c>
      <c r="G719" t="s">
        <v>19</v>
      </c>
      <c r="H719" t="s">
        <v>20</v>
      </c>
    </row>
    <row r="720" spans="1:9" x14ac:dyDescent="0.2">
      <c r="A720" t="s">
        <v>26</v>
      </c>
      <c r="B720">
        <v>3.15E-2</v>
      </c>
      <c r="C720" t="s">
        <v>27</v>
      </c>
      <c r="D720" t="s">
        <v>6</v>
      </c>
      <c r="E720" t="s">
        <v>105</v>
      </c>
      <c r="G720" t="s">
        <v>19</v>
      </c>
      <c r="H720" t="s">
        <v>20</v>
      </c>
    </row>
    <row r="721" spans="1:9" x14ac:dyDescent="0.2">
      <c r="A721" t="s">
        <v>24</v>
      </c>
      <c r="B721">
        <v>2.4E-2</v>
      </c>
      <c r="C721" t="s">
        <v>25</v>
      </c>
      <c r="D721" t="s">
        <v>6</v>
      </c>
      <c r="E721" t="s">
        <v>105</v>
      </c>
      <c r="G721" t="s">
        <v>19</v>
      </c>
      <c r="H721" t="s">
        <v>20</v>
      </c>
    </row>
    <row r="722" spans="1:9" x14ac:dyDescent="0.2">
      <c r="A722" t="s">
        <v>24</v>
      </c>
      <c r="B722">
        <v>1.35E-2</v>
      </c>
      <c r="C722" t="s">
        <v>25</v>
      </c>
      <c r="D722" t="s">
        <v>6</v>
      </c>
      <c r="E722" t="s">
        <v>105</v>
      </c>
      <c r="G722" t="s">
        <v>19</v>
      </c>
      <c r="H722" t="s">
        <v>20</v>
      </c>
    </row>
    <row r="723" spans="1:9" x14ac:dyDescent="0.2">
      <c r="A723" t="s">
        <v>160</v>
      </c>
      <c r="B723">
        <v>0.22500000000000001</v>
      </c>
      <c r="C723" t="s">
        <v>161</v>
      </c>
      <c r="D723" t="s">
        <v>21</v>
      </c>
      <c r="E723" t="s">
        <v>105</v>
      </c>
      <c r="G723" t="s">
        <v>19</v>
      </c>
      <c r="H723" t="s">
        <v>20</v>
      </c>
    </row>
    <row r="724" spans="1:9" x14ac:dyDescent="0.2">
      <c r="A724" t="s">
        <v>34</v>
      </c>
      <c r="B724">
        <v>36</v>
      </c>
      <c r="C724" t="s">
        <v>35</v>
      </c>
      <c r="D724" t="s">
        <v>6</v>
      </c>
      <c r="E724" t="s">
        <v>105</v>
      </c>
      <c r="G724" t="s">
        <v>19</v>
      </c>
      <c r="H724" t="s">
        <v>20</v>
      </c>
    </row>
    <row r="725" spans="1:9" x14ac:dyDescent="0.2">
      <c r="A725" t="s">
        <v>36</v>
      </c>
      <c r="B725">
        <v>-3.2399999999999998E-2</v>
      </c>
      <c r="C725" t="s">
        <v>37</v>
      </c>
      <c r="D725" t="s">
        <v>21</v>
      </c>
      <c r="E725" t="s">
        <v>106</v>
      </c>
      <c r="G725" t="s">
        <v>19</v>
      </c>
      <c r="H725" t="s">
        <v>20</v>
      </c>
    </row>
    <row r="726" spans="1:9" x14ac:dyDescent="0.2">
      <c r="A726" t="s">
        <v>39</v>
      </c>
      <c r="B726">
        <v>3.5999999999999999E-3</v>
      </c>
      <c r="D726" t="s">
        <v>6</v>
      </c>
      <c r="E726" t="s">
        <v>106</v>
      </c>
      <c r="F726" t="s">
        <v>40</v>
      </c>
      <c r="G726" t="s">
        <v>41</v>
      </c>
      <c r="H726" t="s">
        <v>42</v>
      </c>
    </row>
    <row r="728" spans="1:9" x14ac:dyDescent="0.2">
      <c r="A728" t="s">
        <v>1</v>
      </c>
      <c r="B728" t="s">
        <v>175</v>
      </c>
    </row>
    <row r="729" spans="1:9" x14ac:dyDescent="0.2">
      <c r="A729" t="s">
        <v>2</v>
      </c>
      <c r="B729">
        <v>1</v>
      </c>
    </row>
    <row r="730" spans="1:9" x14ac:dyDescent="0.2">
      <c r="A730" t="s">
        <v>3</v>
      </c>
      <c r="B730" t="s">
        <v>167</v>
      </c>
    </row>
    <row r="731" spans="1:9" x14ac:dyDescent="0.2">
      <c r="A731" t="s">
        <v>4</v>
      </c>
      <c r="B731" t="s">
        <v>176</v>
      </c>
    </row>
    <row r="732" spans="1:9" x14ac:dyDescent="0.2">
      <c r="A732" t="s">
        <v>5</v>
      </c>
      <c r="B732" t="s">
        <v>6</v>
      </c>
    </row>
    <row r="733" spans="1:9" x14ac:dyDescent="0.2">
      <c r="A733" t="s">
        <v>7</v>
      </c>
      <c r="B733" t="s">
        <v>8</v>
      </c>
    </row>
    <row r="734" spans="1:9" x14ac:dyDescent="0.2">
      <c r="A734" t="s">
        <v>9</v>
      </c>
    </row>
    <row r="735" spans="1:9" x14ac:dyDescent="0.2">
      <c r="A735" t="s">
        <v>10</v>
      </c>
      <c r="B735" t="s">
        <v>11</v>
      </c>
      <c r="C735" t="s">
        <v>4</v>
      </c>
      <c r="D735" t="s">
        <v>5</v>
      </c>
      <c r="E735" t="s">
        <v>7</v>
      </c>
      <c r="F735" t="s">
        <v>12</v>
      </c>
      <c r="G735" t="s">
        <v>13</v>
      </c>
      <c r="H735" t="s">
        <v>14</v>
      </c>
      <c r="I735" t="s">
        <v>3</v>
      </c>
    </row>
    <row r="736" spans="1:9" x14ac:dyDescent="0.2">
      <c r="A736" t="s">
        <v>175</v>
      </c>
      <c r="B736">
        <v>1</v>
      </c>
      <c r="C736" t="s">
        <v>176</v>
      </c>
      <c r="D736" t="s">
        <v>6</v>
      </c>
      <c r="E736" t="s">
        <v>8</v>
      </c>
      <c r="G736" t="s">
        <v>15</v>
      </c>
      <c r="H736" t="s">
        <v>23</v>
      </c>
    </row>
    <row r="737" spans="1:8" x14ac:dyDescent="0.2">
      <c r="A737" t="s">
        <v>16</v>
      </c>
      <c r="B737">
        <v>3.2</v>
      </c>
      <c r="C737" t="s">
        <v>17</v>
      </c>
      <c r="D737" t="s">
        <v>6</v>
      </c>
      <c r="E737" t="s">
        <v>103</v>
      </c>
      <c r="G737" t="s">
        <v>19</v>
      </c>
      <c r="H737" t="s">
        <v>20</v>
      </c>
    </row>
    <row r="738" spans="1:8" x14ac:dyDescent="0.2">
      <c r="A738" t="s">
        <v>196</v>
      </c>
      <c r="B738">
        <v>24.4</v>
      </c>
      <c r="C738" t="s">
        <v>197</v>
      </c>
      <c r="D738" t="s">
        <v>6</v>
      </c>
      <c r="E738" t="s">
        <v>104</v>
      </c>
      <c r="G738" t="s">
        <v>19</v>
      </c>
      <c r="H738" t="s">
        <v>23</v>
      </c>
    </row>
    <row r="739" spans="1:8" x14ac:dyDescent="0.2">
      <c r="A739" t="s">
        <v>92</v>
      </c>
      <c r="B739">
        <v>8.3333333329999995E-2</v>
      </c>
      <c r="C739" t="s">
        <v>93</v>
      </c>
      <c r="D739" t="s">
        <v>6</v>
      </c>
      <c r="E739" t="s">
        <v>105</v>
      </c>
      <c r="G739" t="s">
        <v>19</v>
      </c>
      <c r="H739" t="s">
        <v>23</v>
      </c>
    </row>
    <row r="740" spans="1:8" x14ac:dyDescent="0.2">
      <c r="A740" t="s">
        <v>24</v>
      </c>
      <c r="B740">
        <v>0.15</v>
      </c>
      <c r="C740" t="s">
        <v>25</v>
      </c>
      <c r="D740" t="s">
        <v>6</v>
      </c>
      <c r="E740" t="s">
        <v>105</v>
      </c>
      <c r="G740" t="s">
        <v>19</v>
      </c>
      <c r="H740" t="s">
        <v>20</v>
      </c>
    </row>
    <row r="741" spans="1:8" x14ac:dyDescent="0.2">
      <c r="A741" t="s">
        <v>26</v>
      </c>
      <c r="B741">
        <v>8.7499999999999994E-2</v>
      </c>
      <c r="C741" t="s">
        <v>27</v>
      </c>
      <c r="D741" t="s">
        <v>6</v>
      </c>
      <c r="E741" t="s">
        <v>105</v>
      </c>
      <c r="G741" t="s">
        <v>19</v>
      </c>
      <c r="H741" t="s">
        <v>20</v>
      </c>
    </row>
    <row r="742" spans="1:8" x14ac:dyDescent="0.2">
      <c r="A742" t="s">
        <v>24</v>
      </c>
      <c r="B742">
        <v>6.6666666669999999E-2</v>
      </c>
      <c r="C742" t="s">
        <v>25</v>
      </c>
      <c r="D742" t="s">
        <v>6</v>
      </c>
      <c r="E742" t="s">
        <v>105</v>
      </c>
      <c r="G742" t="s">
        <v>19</v>
      </c>
      <c r="H742" t="s">
        <v>20</v>
      </c>
    </row>
    <row r="743" spans="1:8" x14ac:dyDescent="0.2">
      <c r="A743" t="s">
        <v>24</v>
      </c>
      <c r="B743">
        <v>3.7499999999999999E-2</v>
      </c>
      <c r="C743" t="s">
        <v>25</v>
      </c>
      <c r="D743" t="s">
        <v>6</v>
      </c>
      <c r="E743" t="s">
        <v>105</v>
      </c>
      <c r="G743" t="s">
        <v>19</v>
      </c>
      <c r="H743" t="s">
        <v>20</v>
      </c>
    </row>
    <row r="744" spans="1:8" x14ac:dyDescent="0.2">
      <c r="A744" t="s">
        <v>160</v>
      </c>
      <c r="B744">
        <v>0.625</v>
      </c>
      <c r="C744" t="s">
        <v>161</v>
      </c>
      <c r="D744" t="s">
        <v>21</v>
      </c>
      <c r="E744" t="s">
        <v>105</v>
      </c>
      <c r="G744" t="s">
        <v>19</v>
      </c>
      <c r="H744" t="s">
        <v>20</v>
      </c>
    </row>
    <row r="745" spans="1:8" x14ac:dyDescent="0.2">
      <c r="A745" t="s">
        <v>34</v>
      </c>
      <c r="B745">
        <v>100</v>
      </c>
      <c r="C745" t="s">
        <v>35</v>
      </c>
      <c r="D745" t="s">
        <v>6</v>
      </c>
      <c r="E745" t="s">
        <v>105</v>
      </c>
      <c r="G745" t="s">
        <v>19</v>
      </c>
      <c r="H745" t="s">
        <v>20</v>
      </c>
    </row>
    <row r="746" spans="1:8" x14ac:dyDescent="0.2">
      <c r="A746" t="s">
        <v>36</v>
      </c>
      <c r="B746">
        <v>-0.09</v>
      </c>
      <c r="C746" t="s">
        <v>37</v>
      </c>
      <c r="D746" t="s">
        <v>21</v>
      </c>
      <c r="E746" t="s">
        <v>106</v>
      </c>
      <c r="G746" t="s">
        <v>19</v>
      </c>
      <c r="H746" t="s">
        <v>20</v>
      </c>
    </row>
    <row r="747" spans="1:8" x14ac:dyDescent="0.2">
      <c r="A747" t="s">
        <v>39</v>
      </c>
      <c r="B747">
        <v>0.01</v>
      </c>
      <c r="D747" t="s">
        <v>6</v>
      </c>
      <c r="E747" t="s">
        <v>106</v>
      </c>
      <c r="F747" t="s">
        <v>40</v>
      </c>
      <c r="G747" t="s">
        <v>41</v>
      </c>
      <c r="H747" t="s">
        <v>42</v>
      </c>
    </row>
    <row r="749" spans="1:8" x14ac:dyDescent="0.2">
      <c r="A749" t="s">
        <v>1</v>
      </c>
      <c r="B749" t="s">
        <v>177</v>
      </c>
    </row>
    <row r="750" spans="1:8" x14ac:dyDescent="0.2">
      <c r="A750" t="s">
        <v>2</v>
      </c>
      <c r="B750">
        <v>1</v>
      </c>
    </row>
    <row r="751" spans="1:8" x14ac:dyDescent="0.2">
      <c r="A751" t="s">
        <v>3</v>
      </c>
      <c r="B751" t="s">
        <v>178</v>
      </c>
    </row>
    <row r="752" spans="1:8" x14ac:dyDescent="0.2">
      <c r="A752" t="s">
        <v>4</v>
      </c>
      <c r="B752" t="s">
        <v>179</v>
      </c>
    </row>
    <row r="753" spans="1:9" x14ac:dyDescent="0.2">
      <c r="A753" t="s">
        <v>5</v>
      </c>
      <c r="B753" t="s">
        <v>6</v>
      </c>
    </row>
    <row r="754" spans="1:9" x14ac:dyDescent="0.2">
      <c r="A754" t="s">
        <v>7</v>
      </c>
      <c r="B754" t="s">
        <v>8</v>
      </c>
    </row>
    <row r="755" spans="1:9" x14ac:dyDescent="0.2">
      <c r="A755" t="s">
        <v>9</v>
      </c>
    </row>
    <row r="756" spans="1:9" x14ac:dyDescent="0.2">
      <c r="A756" t="s">
        <v>10</v>
      </c>
      <c r="B756" t="s">
        <v>11</v>
      </c>
      <c r="C756" t="s">
        <v>4</v>
      </c>
      <c r="D756" t="s">
        <v>5</v>
      </c>
      <c r="E756" t="s">
        <v>7</v>
      </c>
      <c r="F756" t="s">
        <v>12</v>
      </c>
      <c r="G756" t="s">
        <v>13</v>
      </c>
      <c r="H756" t="s">
        <v>14</v>
      </c>
      <c r="I756" t="s">
        <v>3</v>
      </c>
    </row>
    <row r="757" spans="1:9" x14ac:dyDescent="0.2">
      <c r="A757" t="s">
        <v>177</v>
      </c>
      <c r="B757">
        <v>1</v>
      </c>
      <c r="C757" t="s">
        <v>179</v>
      </c>
      <c r="D757" t="s">
        <v>6</v>
      </c>
      <c r="E757" t="s">
        <v>8</v>
      </c>
      <c r="G757" t="s">
        <v>15</v>
      </c>
      <c r="H757" t="s">
        <v>23</v>
      </c>
    </row>
    <row r="758" spans="1:9" x14ac:dyDescent="0.2">
      <c r="A758" t="s">
        <v>16</v>
      </c>
      <c r="B758">
        <v>3.6</v>
      </c>
      <c r="C758" t="s">
        <v>17</v>
      </c>
      <c r="D758" t="s">
        <v>6</v>
      </c>
      <c r="E758" t="s">
        <v>103</v>
      </c>
      <c r="G758" t="s">
        <v>19</v>
      </c>
      <c r="H758" t="s">
        <v>20</v>
      </c>
    </row>
    <row r="759" spans="1:9" x14ac:dyDescent="0.2">
      <c r="A759" t="s">
        <v>196</v>
      </c>
      <c r="B759">
        <v>31.5</v>
      </c>
      <c r="C759" t="s">
        <v>197</v>
      </c>
      <c r="D759" t="s">
        <v>6</v>
      </c>
      <c r="E759" t="s">
        <v>104</v>
      </c>
      <c r="G759" t="s">
        <v>19</v>
      </c>
      <c r="H759" t="s">
        <v>23</v>
      </c>
    </row>
    <row r="760" spans="1:9" x14ac:dyDescent="0.2">
      <c r="A760" t="s">
        <v>92</v>
      </c>
      <c r="B760">
        <v>0.05</v>
      </c>
      <c r="C760" t="s">
        <v>93</v>
      </c>
      <c r="D760" t="s">
        <v>6</v>
      </c>
      <c r="E760" t="s">
        <v>105</v>
      </c>
      <c r="G760" t="s">
        <v>19</v>
      </c>
      <c r="H760" t="s">
        <v>23</v>
      </c>
    </row>
    <row r="761" spans="1:9" x14ac:dyDescent="0.2">
      <c r="A761" t="s">
        <v>24</v>
      </c>
      <c r="B761">
        <v>0.12</v>
      </c>
      <c r="C761" t="s">
        <v>25</v>
      </c>
      <c r="D761" t="s">
        <v>6</v>
      </c>
      <c r="E761" t="s">
        <v>105</v>
      </c>
      <c r="G761" t="s">
        <v>19</v>
      </c>
      <c r="H761" t="s">
        <v>20</v>
      </c>
    </row>
    <row r="762" spans="1:9" x14ac:dyDescent="0.2">
      <c r="A762" t="s">
        <v>61</v>
      </c>
      <c r="B762">
        <v>0.06</v>
      </c>
      <c r="C762" t="s">
        <v>62</v>
      </c>
      <c r="D762" t="s">
        <v>6</v>
      </c>
      <c r="E762" t="s">
        <v>105</v>
      </c>
      <c r="G762" t="s">
        <v>19</v>
      </c>
      <c r="H762" t="s">
        <v>20</v>
      </c>
    </row>
    <row r="763" spans="1:9" x14ac:dyDescent="0.2">
      <c r="A763" t="s">
        <v>53</v>
      </c>
      <c r="B763">
        <v>0.75</v>
      </c>
      <c r="C763" t="s">
        <v>54</v>
      </c>
      <c r="D763" t="s">
        <v>21</v>
      </c>
      <c r="E763" t="s">
        <v>105</v>
      </c>
      <c r="G763" t="s">
        <v>19</v>
      </c>
      <c r="H763" t="s">
        <v>20</v>
      </c>
    </row>
    <row r="764" spans="1:9" x14ac:dyDescent="0.2">
      <c r="A764" t="s">
        <v>180</v>
      </c>
      <c r="B764">
        <v>0.09</v>
      </c>
      <c r="C764" t="s">
        <v>181</v>
      </c>
      <c r="D764" t="s">
        <v>6</v>
      </c>
      <c r="E764" t="s">
        <v>105</v>
      </c>
      <c r="G764" t="s">
        <v>19</v>
      </c>
      <c r="H764" t="s">
        <v>20</v>
      </c>
    </row>
    <row r="765" spans="1:9" x14ac:dyDescent="0.2">
      <c r="A765" t="s">
        <v>34</v>
      </c>
      <c r="B765">
        <v>150</v>
      </c>
      <c r="C765" t="s">
        <v>35</v>
      </c>
      <c r="D765" t="s">
        <v>6</v>
      </c>
      <c r="E765" t="s">
        <v>105</v>
      </c>
      <c r="G765" t="s">
        <v>19</v>
      </c>
      <c r="H765" t="s">
        <v>20</v>
      </c>
    </row>
    <row r="766" spans="1:9" x14ac:dyDescent="0.2">
      <c r="A766" t="s">
        <v>36</v>
      </c>
      <c r="B766">
        <v>-0.13500000000000001</v>
      </c>
      <c r="C766" t="s">
        <v>37</v>
      </c>
      <c r="D766" t="s">
        <v>21</v>
      </c>
      <c r="E766" t="s">
        <v>106</v>
      </c>
      <c r="G766" t="s">
        <v>19</v>
      </c>
      <c r="H766" t="s">
        <v>20</v>
      </c>
    </row>
    <row r="767" spans="1:9" x14ac:dyDescent="0.2">
      <c r="A767" t="s">
        <v>39</v>
      </c>
      <c r="B767">
        <v>1.4999999999999999E-2</v>
      </c>
      <c r="D767" t="s">
        <v>6</v>
      </c>
      <c r="E767" t="s">
        <v>106</v>
      </c>
      <c r="F767" t="s">
        <v>40</v>
      </c>
      <c r="G767" t="s">
        <v>41</v>
      </c>
      <c r="H767" t="s">
        <v>42</v>
      </c>
    </row>
    <row r="769" spans="1:9" x14ac:dyDescent="0.2">
      <c r="A769" t="s">
        <v>1</v>
      </c>
      <c r="B769" t="s">
        <v>182</v>
      </c>
    </row>
    <row r="770" spans="1:9" x14ac:dyDescent="0.2">
      <c r="A770" t="s">
        <v>2</v>
      </c>
      <c r="B770">
        <v>1</v>
      </c>
    </row>
    <row r="771" spans="1:9" x14ac:dyDescent="0.2">
      <c r="A771" t="s">
        <v>3</v>
      </c>
      <c r="B771" t="s">
        <v>183</v>
      </c>
    </row>
    <row r="772" spans="1:9" x14ac:dyDescent="0.2">
      <c r="A772" t="s">
        <v>4</v>
      </c>
      <c r="B772" t="s">
        <v>184</v>
      </c>
    </row>
    <row r="773" spans="1:9" x14ac:dyDescent="0.2">
      <c r="A773" t="s">
        <v>5</v>
      </c>
      <c r="B773" t="s">
        <v>6</v>
      </c>
    </row>
    <row r="774" spans="1:9" x14ac:dyDescent="0.2">
      <c r="A774" t="s">
        <v>7</v>
      </c>
      <c r="B774" t="s">
        <v>8</v>
      </c>
    </row>
    <row r="775" spans="1:9" x14ac:dyDescent="0.2">
      <c r="A775" t="s">
        <v>9</v>
      </c>
    </row>
    <row r="776" spans="1:9" x14ac:dyDescent="0.2">
      <c r="A776" t="s">
        <v>10</v>
      </c>
      <c r="B776" t="s">
        <v>11</v>
      </c>
      <c r="C776" t="s">
        <v>4</v>
      </c>
      <c r="D776" t="s">
        <v>5</v>
      </c>
      <c r="E776" t="s">
        <v>7</v>
      </c>
      <c r="F776" t="s">
        <v>12</v>
      </c>
      <c r="G776" t="s">
        <v>13</v>
      </c>
      <c r="H776" t="s">
        <v>14</v>
      </c>
      <c r="I776" t="s">
        <v>3</v>
      </c>
    </row>
    <row r="777" spans="1:9" x14ac:dyDescent="0.2">
      <c r="A777" t="s">
        <v>182</v>
      </c>
      <c r="B777">
        <v>1</v>
      </c>
      <c r="C777" t="s">
        <v>184</v>
      </c>
      <c r="D777" t="s">
        <v>6</v>
      </c>
      <c r="E777" t="s">
        <v>8</v>
      </c>
      <c r="G777" t="s">
        <v>15</v>
      </c>
      <c r="H777" t="s">
        <v>23</v>
      </c>
    </row>
    <row r="778" spans="1:9" x14ac:dyDescent="0.2">
      <c r="A778" t="s">
        <v>16</v>
      </c>
      <c r="B778">
        <v>2.9</v>
      </c>
      <c r="C778" t="s">
        <v>17</v>
      </c>
      <c r="D778" t="s">
        <v>6</v>
      </c>
      <c r="E778" t="s">
        <v>103</v>
      </c>
      <c r="G778" t="s">
        <v>19</v>
      </c>
      <c r="H778" t="s">
        <v>20</v>
      </c>
    </row>
    <row r="779" spans="1:9" x14ac:dyDescent="0.2">
      <c r="A779" t="s">
        <v>196</v>
      </c>
      <c r="B779">
        <v>23.2</v>
      </c>
      <c r="C779" t="s">
        <v>197</v>
      </c>
      <c r="D779" t="s">
        <v>6</v>
      </c>
      <c r="E779" t="s">
        <v>104</v>
      </c>
      <c r="G779" t="s">
        <v>19</v>
      </c>
      <c r="H779" t="s">
        <v>23</v>
      </c>
    </row>
    <row r="780" spans="1:9" x14ac:dyDescent="0.2">
      <c r="A780" t="s">
        <v>90</v>
      </c>
      <c r="B780">
        <v>1.592E-2</v>
      </c>
      <c r="C780" t="s">
        <v>91</v>
      </c>
      <c r="D780" t="s">
        <v>6</v>
      </c>
      <c r="E780" t="s">
        <v>105</v>
      </c>
      <c r="G780" t="s">
        <v>19</v>
      </c>
      <c r="H780" t="s">
        <v>23</v>
      </c>
    </row>
    <row r="781" spans="1:9" x14ac:dyDescent="0.2">
      <c r="A781" t="s">
        <v>24</v>
      </c>
      <c r="B781">
        <v>4.0000000000000001E-3</v>
      </c>
      <c r="C781" t="s">
        <v>25</v>
      </c>
      <c r="D781" t="s">
        <v>6</v>
      </c>
      <c r="E781" t="s">
        <v>105</v>
      </c>
      <c r="G781" t="s">
        <v>19</v>
      </c>
      <c r="H781" t="s">
        <v>20</v>
      </c>
    </row>
    <row r="782" spans="1:9" x14ac:dyDescent="0.2">
      <c r="A782" t="s">
        <v>26</v>
      </c>
      <c r="B782">
        <v>8.0000000000000002E-3</v>
      </c>
      <c r="C782" t="s">
        <v>27</v>
      </c>
      <c r="D782" t="s">
        <v>6</v>
      </c>
      <c r="E782" t="s">
        <v>105</v>
      </c>
      <c r="G782" t="s">
        <v>19</v>
      </c>
      <c r="H782" t="s">
        <v>20</v>
      </c>
    </row>
    <row r="783" spans="1:9" x14ac:dyDescent="0.2">
      <c r="A783" t="s">
        <v>24</v>
      </c>
      <c r="B783">
        <v>1.2E-2</v>
      </c>
      <c r="C783" t="s">
        <v>25</v>
      </c>
      <c r="D783" t="s">
        <v>6</v>
      </c>
      <c r="E783" t="s">
        <v>105</v>
      </c>
      <c r="G783" t="s">
        <v>19</v>
      </c>
      <c r="H783" t="s">
        <v>20</v>
      </c>
    </row>
    <row r="784" spans="1:9" x14ac:dyDescent="0.2">
      <c r="A784" t="s">
        <v>45</v>
      </c>
      <c r="B784">
        <v>0.128</v>
      </c>
      <c r="C784" t="s">
        <v>46</v>
      </c>
      <c r="D784" t="s">
        <v>21</v>
      </c>
      <c r="E784" t="s">
        <v>105</v>
      </c>
      <c r="G784" t="s">
        <v>19</v>
      </c>
      <c r="H784" t="s">
        <v>20</v>
      </c>
    </row>
    <row r="785" spans="1:9" x14ac:dyDescent="0.2">
      <c r="A785" t="s">
        <v>26</v>
      </c>
      <c r="B785">
        <v>8.0000000000000002E-3</v>
      </c>
      <c r="C785" t="s">
        <v>27</v>
      </c>
      <c r="D785" t="s">
        <v>6</v>
      </c>
      <c r="E785" t="s">
        <v>105</v>
      </c>
      <c r="G785" t="s">
        <v>19</v>
      </c>
      <c r="H785" t="s">
        <v>20</v>
      </c>
    </row>
    <row r="786" spans="1:9" x14ac:dyDescent="0.2">
      <c r="A786" t="s">
        <v>32</v>
      </c>
      <c r="B786">
        <v>1.4999999999999999E-2</v>
      </c>
      <c r="C786" t="s">
        <v>33</v>
      </c>
      <c r="D786" t="s">
        <v>6</v>
      </c>
      <c r="E786" t="s">
        <v>105</v>
      </c>
      <c r="G786" t="s">
        <v>19</v>
      </c>
      <c r="H786" t="s">
        <v>20</v>
      </c>
    </row>
    <row r="787" spans="1:9" x14ac:dyDescent="0.2">
      <c r="A787" t="s">
        <v>34</v>
      </c>
      <c r="B787">
        <v>136</v>
      </c>
      <c r="C787" t="s">
        <v>35</v>
      </c>
      <c r="D787" t="s">
        <v>6</v>
      </c>
      <c r="E787" t="s">
        <v>105</v>
      </c>
      <c r="G787" t="s">
        <v>19</v>
      </c>
      <c r="H787" t="s">
        <v>20</v>
      </c>
    </row>
    <row r="788" spans="1:9" x14ac:dyDescent="0.2">
      <c r="A788" t="s">
        <v>36</v>
      </c>
      <c r="B788">
        <v>-0.12239999999999999</v>
      </c>
      <c r="C788" t="s">
        <v>37</v>
      </c>
      <c r="D788" t="s">
        <v>21</v>
      </c>
      <c r="E788" t="s">
        <v>106</v>
      </c>
      <c r="G788" t="s">
        <v>19</v>
      </c>
      <c r="H788" t="s">
        <v>20</v>
      </c>
    </row>
    <row r="789" spans="1:9" x14ac:dyDescent="0.2">
      <c r="A789" t="s">
        <v>39</v>
      </c>
      <c r="B789">
        <v>1.3599999999999999E-2</v>
      </c>
      <c r="D789" t="s">
        <v>6</v>
      </c>
      <c r="E789" t="s">
        <v>106</v>
      </c>
      <c r="F789" t="s">
        <v>40</v>
      </c>
      <c r="G789" t="s">
        <v>41</v>
      </c>
      <c r="H789" t="s">
        <v>42</v>
      </c>
    </row>
    <row r="791" spans="1:9" x14ac:dyDescent="0.2">
      <c r="A791" t="s">
        <v>1</v>
      </c>
      <c r="B791" t="s">
        <v>185</v>
      </c>
    </row>
    <row r="792" spans="1:9" x14ac:dyDescent="0.2">
      <c r="A792" t="s">
        <v>2</v>
      </c>
      <c r="B792">
        <v>1</v>
      </c>
    </row>
    <row r="793" spans="1:9" x14ac:dyDescent="0.2">
      <c r="A793" t="s">
        <v>3</v>
      </c>
      <c r="B793" t="s">
        <v>186</v>
      </c>
    </row>
    <row r="794" spans="1:9" x14ac:dyDescent="0.2">
      <c r="A794" t="s">
        <v>4</v>
      </c>
      <c r="B794" t="s">
        <v>187</v>
      </c>
    </row>
    <row r="795" spans="1:9" x14ac:dyDescent="0.2">
      <c r="A795" t="s">
        <v>5</v>
      </c>
      <c r="B795" t="s">
        <v>6</v>
      </c>
    </row>
    <row r="796" spans="1:9" x14ac:dyDescent="0.2">
      <c r="A796" t="s">
        <v>7</v>
      </c>
      <c r="B796" t="s">
        <v>8</v>
      </c>
    </row>
    <row r="797" spans="1:9" x14ac:dyDescent="0.2">
      <c r="A797" t="s">
        <v>9</v>
      </c>
    </row>
    <row r="798" spans="1:9" x14ac:dyDescent="0.2">
      <c r="A798" t="s">
        <v>10</v>
      </c>
      <c r="B798" t="s">
        <v>11</v>
      </c>
      <c r="C798" t="s">
        <v>4</v>
      </c>
      <c r="D798" t="s">
        <v>5</v>
      </c>
      <c r="E798" t="s">
        <v>7</v>
      </c>
      <c r="F798" t="s">
        <v>12</v>
      </c>
      <c r="G798" t="s">
        <v>13</v>
      </c>
      <c r="H798" t="s">
        <v>14</v>
      </c>
      <c r="I798" t="s">
        <v>3</v>
      </c>
    </row>
    <row r="799" spans="1:9" x14ac:dyDescent="0.2">
      <c r="A799" t="s">
        <v>185</v>
      </c>
      <c r="B799">
        <v>1</v>
      </c>
      <c r="C799" t="s">
        <v>187</v>
      </c>
      <c r="D799" t="s">
        <v>6</v>
      </c>
      <c r="E799" t="s">
        <v>8</v>
      </c>
      <c r="G799" t="s">
        <v>15</v>
      </c>
      <c r="H799" t="s">
        <v>23</v>
      </c>
    </row>
    <row r="800" spans="1:9" x14ac:dyDescent="0.2">
      <c r="A800" t="s">
        <v>16</v>
      </c>
      <c r="B800">
        <v>2.8</v>
      </c>
      <c r="C800" t="s">
        <v>17</v>
      </c>
      <c r="D800" t="s">
        <v>6</v>
      </c>
      <c r="E800" t="s">
        <v>103</v>
      </c>
      <c r="G800" t="s">
        <v>19</v>
      </c>
      <c r="H800" t="s">
        <v>20</v>
      </c>
    </row>
    <row r="801" spans="1:8" x14ac:dyDescent="0.2">
      <c r="A801" t="s">
        <v>196</v>
      </c>
      <c r="B801">
        <v>21.6</v>
      </c>
      <c r="C801" t="s">
        <v>197</v>
      </c>
      <c r="D801" t="s">
        <v>6</v>
      </c>
      <c r="E801" t="s">
        <v>104</v>
      </c>
      <c r="G801" t="s">
        <v>19</v>
      </c>
      <c r="H801" t="s">
        <v>23</v>
      </c>
    </row>
    <row r="802" spans="1:8" x14ac:dyDescent="0.2">
      <c r="A802" t="s">
        <v>77</v>
      </c>
      <c r="B802">
        <v>1.7000000000000001E-2</v>
      </c>
      <c r="C802" t="s">
        <v>76</v>
      </c>
      <c r="D802" t="s">
        <v>6</v>
      </c>
      <c r="E802" t="s">
        <v>105</v>
      </c>
      <c r="G802" t="s">
        <v>19</v>
      </c>
      <c r="H802" t="s">
        <v>23</v>
      </c>
    </row>
    <row r="803" spans="1:8" x14ac:dyDescent="0.2">
      <c r="A803" t="s">
        <v>24</v>
      </c>
      <c r="B803">
        <v>1.2E-2</v>
      </c>
      <c r="C803" t="s">
        <v>25</v>
      </c>
      <c r="D803" t="s">
        <v>6</v>
      </c>
      <c r="E803" t="s">
        <v>105</v>
      </c>
      <c r="G803" t="s">
        <v>19</v>
      </c>
      <c r="H803" t="s">
        <v>20</v>
      </c>
    </row>
    <row r="804" spans="1:8" x14ac:dyDescent="0.2">
      <c r="A804" t="s">
        <v>26</v>
      </c>
      <c r="B804">
        <v>1.7999999999999999E-2</v>
      </c>
      <c r="C804" t="s">
        <v>27</v>
      </c>
      <c r="D804" t="s">
        <v>6</v>
      </c>
      <c r="E804" t="s">
        <v>105</v>
      </c>
      <c r="G804" t="s">
        <v>19</v>
      </c>
      <c r="H804" t="s">
        <v>20</v>
      </c>
    </row>
    <row r="805" spans="1:8" x14ac:dyDescent="0.2">
      <c r="A805" t="s">
        <v>43</v>
      </c>
      <c r="B805">
        <v>8.4000000000000005E-2</v>
      </c>
      <c r="C805" t="s">
        <v>44</v>
      </c>
      <c r="D805" t="s">
        <v>21</v>
      </c>
      <c r="E805" t="s">
        <v>105</v>
      </c>
      <c r="G805" t="s">
        <v>19</v>
      </c>
      <c r="H805" t="s">
        <v>20</v>
      </c>
    </row>
    <row r="806" spans="1:8" x14ac:dyDescent="0.2">
      <c r="A806" t="s">
        <v>24</v>
      </c>
      <c r="B806">
        <v>1.6E-2</v>
      </c>
      <c r="C806" t="s">
        <v>25</v>
      </c>
      <c r="D806" t="s">
        <v>6</v>
      </c>
      <c r="E806" t="s">
        <v>105</v>
      </c>
      <c r="G806" t="s">
        <v>19</v>
      </c>
      <c r="H806" t="s">
        <v>20</v>
      </c>
    </row>
    <row r="807" spans="1:8" x14ac:dyDescent="0.2">
      <c r="A807" t="s">
        <v>34</v>
      </c>
      <c r="B807">
        <v>17.3</v>
      </c>
      <c r="C807" t="s">
        <v>35</v>
      </c>
      <c r="D807" t="s">
        <v>6</v>
      </c>
      <c r="E807" t="s">
        <v>105</v>
      </c>
      <c r="G807" t="s">
        <v>19</v>
      </c>
      <c r="H807" t="s">
        <v>20</v>
      </c>
    </row>
    <row r="808" spans="1:8" x14ac:dyDescent="0.2">
      <c r="A808" t="s">
        <v>36</v>
      </c>
      <c r="B808">
        <v>-1.5570000000000001E-2</v>
      </c>
      <c r="C808" t="s">
        <v>37</v>
      </c>
      <c r="D808" t="s">
        <v>21</v>
      </c>
      <c r="E808" t="s">
        <v>106</v>
      </c>
      <c r="G808" t="s">
        <v>19</v>
      </c>
      <c r="H808" t="s">
        <v>20</v>
      </c>
    </row>
    <row r="809" spans="1:8" x14ac:dyDescent="0.2">
      <c r="A809" t="s">
        <v>39</v>
      </c>
      <c r="B809">
        <v>1.73E-3</v>
      </c>
      <c r="D809" t="s">
        <v>6</v>
      </c>
      <c r="E809" t="s">
        <v>106</v>
      </c>
      <c r="F809" t="s">
        <v>40</v>
      </c>
      <c r="G809" t="s">
        <v>41</v>
      </c>
      <c r="H809" t="s">
        <v>42</v>
      </c>
    </row>
    <row r="811" spans="1:8" x14ac:dyDescent="0.2">
      <c r="A811" t="s">
        <v>1</v>
      </c>
      <c r="B811" t="s">
        <v>188</v>
      </c>
    </row>
    <row r="812" spans="1:8" x14ac:dyDescent="0.2">
      <c r="A812" t="s">
        <v>2</v>
      </c>
      <c r="B812">
        <v>1</v>
      </c>
    </row>
    <row r="813" spans="1:8" x14ac:dyDescent="0.2">
      <c r="A813" t="s">
        <v>3</v>
      </c>
      <c r="B813" t="s">
        <v>186</v>
      </c>
    </row>
    <row r="814" spans="1:8" x14ac:dyDescent="0.2">
      <c r="A814" t="s">
        <v>4</v>
      </c>
      <c r="B814" t="s">
        <v>189</v>
      </c>
    </row>
    <row r="815" spans="1:8" x14ac:dyDescent="0.2">
      <c r="A815" t="s">
        <v>5</v>
      </c>
      <c r="B815" t="s">
        <v>6</v>
      </c>
    </row>
    <row r="816" spans="1:8" x14ac:dyDescent="0.2">
      <c r="A816" t="s">
        <v>7</v>
      </c>
      <c r="B816" t="s">
        <v>8</v>
      </c>
    </row>
    <row r="817" spans="1:9" x14ac:dyDescent="0.2">
      <c r="A817" t="s">
        <v>9</v>
      </c>
    </row>
    <row r="818" spans="1:9" x14ac:dyDescent="0.2">
      <c r="A818" t="s">
        <v>10</v>
      </c>
      <c r="B818" t="s">
        <v>11</v>
      </c>
      <c r="C818" t="s">
        <v>4</v>
      </c>
      <c r="D818" t="s">
        <v>5</v>
      </c>
      <c r="E818" t="s">
        <v>7</v>
      </c>
      <c r="F818" t="s">
        <v>12</v>
      </c>
      <c r="G818" t="s">
        <v>13</v>
      </c>
      <c r="H818" t="s">
        <v>14</v>
      </c>
      <c r="I818" t="s">
        <v>3</v>
      </c>
    </row>
    <row r="819" spans="1:9" x14ac:dyDescent="0.2">
      <c r="A819" t="s">
        <v>188</v>
      </c>
      <c r="B819">
        <v>1</v>
      </c>
      <c r="C819" t="s">
        <v>189</v>
      </c>
      <c r="D819" t="s">
        <v>6</v>
      </c>
      <c r="E819" t="s">
        <v>8</v>
      </c>
      <c r="G819" t="s">
        <v>15</v>
      </c>
      <c r="H819" t="s">
        <v>23</v>
      </c>
    </row>
    <row r="820" spans="1:9" x14ac:dyDescent="0.2">
      <c r="A820" t="s">
        <v>16</v>
      </c>
      <c r="B820">
        <v>3.1</v>
      </c>
      <c r="C820" t="s">
        <v>17</v>
      </c>
      <c r="D820" t="s">
        <v>6</v>
      </c>
      <c r="E820" t="s">
        <v>103</v>
      </c>
      <c r="G820" t="s">
        <v>19</v>
      </c>
      <c r="H820" t="s">
        <v>20</v>
      </c>
    </row>
    <row r="821" spans="1:9" x14ac:dyDescent="0.2">
      <c r="A821" t="s">
        <v>196</v>
      </c>
      <c r="B821">
        <v>14.1</v>
      </c>
      <c r="C821" t="s">
        <v>197</v>
      </c>
      <c r="D821" t="s">
        <v>6</v>
      </c>
      <c r="E821" t="s">
        <v>104</v>
      </c>
      <c r="G821" t="s">
        <v>19</v>
      </c>
      <c r="H821" t="s">
        <v>23</v>
      </c>
    </row>
    <row r="822" spans="1:9" x14ac:dyDescent="0.2">
      <c r="A822" t="s">
        <v>77</v>
      </c>
      <c r="B822">
        <v>1.0999999999999999E-2</v>
      </c>
      <c r="C822" t="s">
        <v>76</v>
      </c>
      <c r="D822" t="s">
        <v>6</v>
      </c>
      <c r="E822" t="s">
        <v>105</v>
      </c>
      <c r="G822" t="s">
        <v>19</v>
      </c>
      <c r="H822" t="s">
        <v>23</v>
      </c>
    </row>
    <row r="823" spans="1:9" x14ac:dyDescent="0.2">
      <c r="A823" t="s">
        <v>24</v>
      </c>
      <c r="B823">
        <v>8.0000000000000002E-3</v>
      </c>
      <c r="C823" t="s">
        <v>25</v>
      </c>
      <c r="D823" t="s">
        <v>6</v>
      </c>
      <c r="E823" t="s">
        <v>105</v>
      </c>
      <c r="G823" t="s">
        <v>19</v>
      </c>
      <c r="H823" t="s">
        <v>20</v>
      </c>
    </row>
    <row r="824" spans="1:9" x14ac:dyDescent="0.2">
      <c r="A824" t="s">
        <v>26</v>
      </c>
      <c r="B824">
        <v>1.2E-2</v>
      </c>
      <c r="C824" t="s">
        <v>27</v>
      </c>
      <c r="D824" t="s">
        <v>6</v>
      </c>
      <c r="E824" t="s">
        <v>105</v>
      </c>
      <c r="G824" t="s">
        <v>19</v>
      </c>
      <c r="H824" t="s">
        <v>20</v>
      </c>
    </row>
    <row r="825" spans="1:9" x14ac:dyDescent="0.2">
      <c r="A825" t="s">
        <v>43</v>
      </c>
      <c r="B825">
        <v>5.6000000000000001E-2</v>
      </c>
      <c r="C825" t="s">
        <v>44</v>
      </c>
      <c r="D825" t="s">
        <v>21</v>
      </c>
      <c r="E825" t="s">
        <v>105</v>
      </c>
      <c r="G825" t="s">
        <v>19</v>
      </c>
      <c r="H825" t="s">
        <v>20</v>
      </c>
    </row>
    <row r="826" spans="1:9" x14ac:dyDescent="0.2">
      <c r="A826" t="s">
        <v>24</v>
      </c>
      <c r="B826">
        <v>1.0999999999999999E-2</v>
      </c>
      <c r="C826" t="s">
        <v>25</v>
      </c>
      <c r="D826" t="s">
        <v>6</v>
      </c>
      <c r="E826" t="s">
        <v>105</v>
      </c>
      <c r="G826" t="s">
        <v>19</v>
      </c>
      <c r="H826" t="s">
        <v>20</v>
      </c>
    </row>
    <row r="827" spans="1:9" x14ac:dyDescent="0.2">
      <c r="A827" t="s">
        <v>34</v>
      </c>
      <c r="B827">
        <v>11.532999999999999</v>
      </c>
      <c r="C827" t="s">
        <v>35</v>
      </c>
      <c r="D827" t="s">
        <v>6</v>
      </c>
      <c r="E827" t="s">
        <v>105</v>
      </c>
      <c r="G827" t="s">
        <v>19</v>
      </c>
      <c r="H827" t="s">
        <v>20</v>
      </c>
    </row>
    <row r="828" spans="1:9" x14ac:dyDescent="0.2">
      <c r="A828" t="s">
        <v>36</v>
      </c>
      <c r="B828">
        <v>-1.03797E-2</v>
      </c>
      <c r="C828" t="s">
        <v>37</v>
      </c>
      <c r="D828" t="s">
        <v>21</v>
      </c>
      <c r="E828" t="s">
        <v>106</v>
      </c>
      <c r="G828" t="s">
        <v>19</v>
      </c>
      <c r="H828" t="s">
        <v>20</v>
      </c>
    </row>
    <row r="829" spans="1:9" x14ac:dyDescent="0.2">
      <c r="A829" t="s">
        <v>39</v>
      </c>
      <c r="B829">
        <v>1.1532999999999999E-3</v>
      </c>
      <c r="D829" t="s">
        <v>6</v>
      </c>
      <c r="E829" t="s">
        <v>106</v>
      </c>
      <c r="F829" t="s">
        <v>40</v>
      </c>
      <c r="G829" t="s">
        <v>41</v>
      </c>
      <c r="H829" t="s">
        <v>42</v>
      </c>
    </row>
    <row r="831" spans="1:9" x14ac:dyDescent="0.2">
      <c r="A831" t="s">
        <v>1</v>
      </c>
      <c r="B831" t="s">
        <v>190</v>
      </c>
    </row>
    <row r="832" spans="1:9" x14ac:dyDescent="0.2">
      <c r="A832" t="s">
        <v>2</v>
      </c>
      <c r="B832">
        <v>1</v>
      </c>
    </row>
    <row r="833" spans="1:9" x14ac:dyDescent="0.2">
      <c r="A833" t="s">
        <v>3</v>
      </c>
      <c r="B833" t="s">
        <v>186</v>
      </c>
    </row>
    <row r="834" spans="1:9" x14ac:dyDescent="0.2">
      <c r="A834" t="s">
        <v>4</v>
      </c>
      <c r="B834" t="s">
        <v>191</v>
      </c>
    </row>
    <row r="835" spans="1:9" x14ac:dyDescent="0.2">
      <c r="A835" t="s">
        <v>5</v>
      </c>
      <c r="B835" t="s">
        <v>6</v>
      </c>
    </row>
    <row r="836" spans="1:9" x14ac:dyDescent="0.2">
      <c r="A836" t="s">
        <v>7</v>
      </c>
      <c r="B836" t="s">
        <v>8</v>
      </c>
    </row>
    <row r="837" spans="1:9" x14ac:dyDescent="0.2">
      <c r="A837" t="s">
        <v>9</v>
      </c>
    </row>
    <row r="838" spans="1:9" x14ac:dyDescent="0.2">
      <c r="A838" t="s">
        <v>10</v>
      </c>
      <c r="B838" t="s">
        <v>11</v>
      </c>
      <c r="C838" t="s">
        <v>4</v>
      </c>
      <c r="D838" t="s">
        <v>5</v>
      </c>
      <c r="E838" t="s">
        <v>7</v>
      </c>
      <c r="F838" t="s">
        <v>12</v>
      </c>
      <c r="G838" t="s">
        <v>13</v>
      </c>
      <c r="H838" t="s">
        <v>14</v>
      </c>
      <c r="I838" t="s">
        <v>3</v>
      </c>
    </row>
    <row r="839" spans="1:9" x14ac:dyDescent="0.2">
      <c r="A839" t="s">
        <v>190</v>
      </c>
      <c r="B839">
        <v>1</v>
      </c>
      <c r="C839" t="s">
        <v>191</v>
      </c>
      <c r="D839" t="s">
        <v>6</v>
      </c>
      <c r="E839" t="s">
        <v>8</v>
      </c>
      <c r="G839" t="s">
        <v>15</v>
      </c>
      <c r="H839" t="s">
        <v>23</v>
      </c>
    </row>
    <row r="840" spans="1:9" x14ac:dyDescent="0.2">
      <c r="A840" t="s">
        <v>16</v>
      </c>
      <c r="B840">
        <v>3.4</v>
      </c>
      <c r="C840" t="s">
        <v>17</v>
      </c>
      <c r="D840" t="s">
        <v>6</v>
      </c>
      <c r="E840" t="s">
        <v>103</v>
      </c>
      <c r="G840" t="s">
        <v>19</v>
      </c>
      <c r="H840" t="s">
        <v>20</v>
      </c>
    </row>
    <row r="841" spans="1:9" x14ac:dyDescent="0.2">
      <c r="A841" t="s">
        <v>196</v>
      </c>
      <c r="B841">
        <v>16.2</v>
      </c>
      <c r="C841" t="s">
        <v>197</v>
      </c>
      <c r="D841" t="s">
        <v>6</v>
      </c>
      <c r="E841" t="s">
        <v>104</v>
      </c>
      <c r="G841" t="s">
        <v>19</v>
      </c>
      <c r="H841" t="s">
        <v>23</v>
      </c>
    </row>
    <row r="842" spans="1:9" x14ac:dyDescent="0.2">
      <c r="A842" t="s">
        <v>74</v>
      </c>
      <c r="B842">
        <v>1.7999999999999999E-2</v>
      </c>
      <c r="C842" t="s">
        <v>75</v>
      </c>
      <c r="D842" t="s">
        <v>6</v>
      </c>
      <c r="E842" t="s">
        <v>105</v>
      </c>
      <c r="G842" t="s">
        <v>19</v>
      </c>
      <c r="H842" t="s">
        <v>23</v>
      </c>
    </row>
    <row r="843" spans="1:9" x14ac:dyDescent="0.2">
      <c r="A843" t="s">
        <v>24</v>
      </c>
      <c r="B843">
        <v>1.2E-2</v>
      </c>
      <c r="C843" t="s">
        <v>25</v>
      </c>
      <c r="D843" t="s">
        <v>6</v>
      </c>
      <c r="E843" t="s">
        <v>105</v>
      </c>
      <c r="G843" t="s">
        <v>19</v>
      </c>
      <c r="H843" t="s">
        <v>20</v>
      </c>
    </row>
    <row r="844" spans="1:9" x14ac:dyDescent="0.2">
      <c r="A844" t="s">
        <v>26</v>
      </c>
      <c r="B844">
        <v>4.0000000000000001E-3</v>
      </c>
      <c r="C844" t="s">
        <v>27</v>
      </c>
      <c r="D844" t="s">
        <v>6</v>
      </c>
      <c r="E844" t="s">
        <v>105</v>
      </c>
      <c r="G844" t="s">
        <v>19</v>
      </c>
      <c r="H844" t="s">
        <v>20</v>
      </c>
    </row>
    <row r="845" spans="1:9" x14ac:dyDescent="0.2">
      <c r="A845" t="s">
        <v>43</v>
      </c>
      <c r="B845">
        <v>6.3E-2</v>
      </c>
      <c r="C845" t="s">
        <v>44</v>
      </c>
      <c r="D845" t="s">
        <v>21</v>
      </c>
      <c r="E845" t="s">
        <v>105</v>
      </c>
      <c r="G845" t="s">
        <v>19</v>
      </c>
      <c r="H845" t="s">
        <v>20</v>
      </c>
    </row>
    <row r="846" spans="1:9" x14ac:dyDescent="0.2">
      <c r="A846" t="s">
        <v>24</v>
      </c>
      <c r="B846">
        <v>3.3000000000000002E-2</v>
      </c>
      <c r="C846" t="s">
        <v>25</v>
      </c>
      <c r="D846" t="s">
        <v>6</v>
      </c>
      <c r="E846" t="s">
        <v>105</v>
      </c>
      <c r="G846" t="s">
        <v>19</v>
      </c>
      <c r="H846" t="s">
        <v>20</v>
      </c>
    </row>
    <row r="847" spans="1:9" x14ac:dyDescent="0.2">
      <c r="A847" t="s">
        <v>45</v>
      </c>
      <c r="B847">
        <v>1.2999999999999999E-2</v>
      </c>
      <c r="C847" t="s">
        <v>46</v>
      </c>
      <c r="D847" t="s">
        <v>21</v>
      </c>
      <c r="E847" t="s">
        <v>105</v>
      </c>
      <c r="G847" t="s">
        <v>19</v>
      </c>
      <c r="H847" t="s">
        <v>20</v>
      </c>
    </row>
    <row r="848" spans="1:9" x14ac:dyDescent="0.2">
      <c r="A848" t="s">
        <v>32</v>
      </c>
      <c r="B848">
        <v>1.2999999999999999E-2</v>
      </c>
      <c r="C848" t="s">
        <v>33</v>
      </c>
      <c r="D848" t="s">
        <v>6</v>
      </c>
      <c r="E848" t="s">
        <v>105</v>
      </c>
      <c r="G848" t="s">
        <v>19</v>
      </c>
      <c r="H848" t="s">
        <v>20</v>
      </c>
    </row>
    <row r="849" spans="1:9" x14ac:dyDescent="0.2">
      <c r="A849" t="s">
        <v>34</v>
      </c>
      <c r="B849">
        <v>52</v>
      </c>
      <c r="C849" t="s">
        <v>35</v>
      </c>
      <c r="D849" t="s">
        <v>6</v>
      </c>
      <c r="E849" t="s">
        <v>105</v>
      </c>
      <c r="G849" t="s">
        <v>19</v>
      </c>
      <c r="H849" t="s">
        <v>20</v>
      </c>
    </row>
    <row r="850" spans="1:9" x14ac:dyDescent="0.2">
      <c r="A850" t="s">
        <v>36</v>
      </c>
      <c r="B850">
        <v>-4.6800000000000001E-2</v>
      </c>
      <c r="C850" t="s">
        <v>37</v>
      </c>
      <c r="D850" t="s">
        <v>21</v>
      </c>
      <c r="E850" t="s">
        <v>106</v>
      </c>
      <c r="G850" t="s">
        <v>19</v>
      </c>
      <c r="H850" t="s">
        <v>20</v>
      </c>
    </row>
    <row r="851" spans="1:9" x14ac:dyDescent="0.2">
      <c r="A851" t="s">
        <v>39</v>
      </c>
      <c r="B851">
        <v>5.1999999999999998E-3</v>
      </c>
      <c r="D851" t="s">
        <v>6</v>
      </c>
      <c r="E851" t="s">
        <v>106</v>
      </c>
      <c r="F851" t="s">
        <v>40</v>
      </c>
      <c r="G851" t="s">
        <v>41</v>
      </c>
      <c r="H851" t="s">
        <v>42</v>
      </c>
    </row>
    <row r="853" spans="1:9" x14ac:dyDescent="0.2">
      <c r="A853" t="s">
        <v>1</v>
      </c>
      <c r="B853" t="s">
        <v>192</v>
      </c>
    </row>
    <row r="854" spans="1:9" x14ac:dyDescent="0.2">
      <c r="A854" t="s">
        <v>2</v>
      </c>
      <c r="B854">
        <v>1</v>
      </c>
    </row>
    <row r="855" spans="1:9" x14ac:dyDescent="0.2">
      <c r="A855" t="s">
        <v>3</v>
      </c>
      <c r="B855" t="s">
        <v>186</v>
      </c>
    </row>
    <row r="856" spans="1:9" x14ac:dyDescent="0.2">
      <c r="A856" t="s">
        <v>4</v>
      </c>
      <c r="B856" t="s">
        <v>193</v>
      </c>
    </row>
    <row r="857" spans="1:9" x14ac:dyDescent="0.2">
      <c r="A857" t="s">
        <v>5</v>
      </c>
      <c r="B857" t="s">
        <v>6</v>
      </c>
    </row>
    <row r="858" spans="1:9" x14ac:dyDescent="0.2">
      <c r="A858" t="s">
        <v>7</v>
      </c>
      <c r="B858" t="s">
        <v>8</v>
      </c>
    </row>
    <row r="859" spans="1:9" x14ac:dyDescent="0.2">
      <c r="A859" t="s">
        <v>9</v>
      </c>
    </row>
    <row r="860" spans="1:9" x14ac:dyDescent="0.2">
      <c r="A860" t="s">
        <v>10</v>
      </c>
      <c r="B860" t="s">
        <v>11</v>
      </c>
      <c r="C860" t="s">
        <v>4</v>
      </c>
      <c r="D860" t="s">
        <v>5</v>
      </c>
      <c r="E860" t="s">
        <v>7</v>
      </c>
      <c r="F860" t="s">
        <v>12</v>
      </c>
      <c r="G860" t="s">
        <v>13</v>
      </c>
      <c r="H860" t="s">
        <v>14</v>
      </c>
      <c r="I860" t="s">
        <v>3</v>
      </c>
    </row>
    <row r="861" spans="1:9" x14ac:dyDescent="0.2">
      <c r="A861" t="s">
        <v>192</v>
      </c>
      <c r="B861">
        <v>1</v>
      </c>
      <c r="C861" t="s">
        <v>193</v>
      </c>
      <c r="D861" t="s">
        <v>6</v>
      </c>
      <c r="E861" t="s">
        <v>8</v>
      </c>
      <c r="G861" t="s">
        <v>15</v>
      </c>
      <c r="H861" t="s">
        <v>23</v>
      </c>
    </row>
    <row r="862" spans="1:9" x14ac:dyDescent="0.2">
      <c r="A862" t="s">
        <v>16</v>
      </c>
      <c r="B862">
        <v>2.2999999999999998</v>
      </c>
      <c r="C862" t="s">
        <v>17</v>
      </c>
      <c r="D862" t="s">
        <v>6</v>
      </c>
      <c r="E862" t="s">
        <v>103</v>
      </c>
      <c r="G862" t="s">
        <v>19</v>
      </c>
      <c r="H862" t="s">
        <v>20</v>
      </c>
    </row>
    <row r="863" spans="1:9" x14ac:dyDescent="0.2">
      <c r="A863" t="s">
        <v>196</v>
      </c>
      <c r="B863">
        <v>17.100000000000001</v>
      </c>
      <c r="C863" t="s">
        <v>197</v>
      </c>
      <c r="D863" t="s">
        <v>6</v>
      </c>
      <c r="E863" t="s">
        <v>104</v>
      </c>
      <c r="G863" t="s">
        <v>19</v>
      </c>
      <c r="H863" t="s">
        <v>23</v>
      </c>
    </row>
    <row r="864" spans="1:9" x14ac:dyDescent="0.2">
      <c r="A864" t="s">
        <v>90</v>
      </c>
      <c r="B864">
        <v>3.5999999999999997E-2</v>
      </c>
      <c r="C864" t="s">
        <v>91</v>
      </c>
      <c r="D864" t="s">
        <v>6</v>
      </c>
      <c r="E864" t="s">
        <v>105</v>
      </c>
      <c r="G864" t="s">
        <v>19</v>
      </c>
      <c r="H864" t="s">
        <v>23</v>
      </c>
    </row>
    <row r="865" spans="1:8" x14ac:dyDescent="0.2">
      <c r="A865" t="s">
        <v>24</v>
      </c>
      <c r="B865">
        <v>2.4E-2</v>
      </c>
      <c r="C865" t="s">
        <v>25</v>
      </c>
      <c r="D865" t="s">
        <v>6</v>
      </c>
      <c r="E865" t="s">
        <v>105</v>
      </c>
      <c r="G865" t="s">
        <v>19</v>
      </c>
      <c r="H865" t="s">
        <v>20</v>
      </c>
    </row>
    <row r="866" spans="1:8" x14ac:dyDescent="0.2">
      <c r="A866" t="s">
        <v>26</v>
      </c>
      <c r="B866">
        <v>8.0000000000000002E-3</v>
      </c>
      <c r="C866" t="s">
        <v>27</v>
      </c>
      <c r="D866" t="s">
        <v>6</v>
      </c>
      <c r="E866" t="s">
        <v>105</v>
      </c>
      <c r="G866" t="s">
        <v>19</v>
      </c>
      <c r="H866" t="s">
        <v>20</v>
      </c>
    </row>
    <row r="867" spans="1:8" x14ac:dyDescent="0.2">
      <c r="A867" t="s">
        <v>43</v>
      </c>
      <c r="B867">
        <v>0.125</v>
      </c>
      <c r="C867" t="s">
        <v>44</v>
      </c>
      <c r="D867" t="s">
        <v>21</v>
      </c>
      <c r="E867" t="s">
        <v>105</v>
      </c>
      <c r="G867" t="s">
        <v>19</v>
      </c>
      <c r="H867" t="s">
        <v>20</v>
      </c>
    </row>
    <row r="868" spans="1:8" x14ac:dyDescent="0.2">
      <c r="A868" t="s">
        <v>24</v>
      </c>
      <c r="B868">
        <v>6.5000000000000002E-2</v>
      </c>
      <c r="C868" t="s">
        <v>25</v>
      </c>
      <c r="D868" t="s">
        <v>6</v>
      </c>
      <c r="E868" t="s">
        <v>105</v>
      </c>
      <c r="G868" t="s">
        <v>19</v>
      </c>
      <c r="H868" t="s">
        <v>20</v>
      </c>
    </row>
    <row r="869" spans="1:8" x14ac:dyDescent="0.2">
      <c r="A869" t="s">
        <v>45</v>
      </c>
      <c r="B869">
        <v>2.5000000000000001E-2</v>
      </c>
      <c r="C869" t="s">
        <v>46</v>
      </c>
      <c r="D869" t="s">
        <v>21</v>
      </c>
      <c r="E869" t="s">
        <v>105</v>
      </c>
      <c r="G869" t="s">
        <v>19</v>
      </c>
      <c r="H869" t="s">
        <v>20</v>
      </c>
    </row>
    <row r="870" spans="1:8" x14ac:dyDescent="0.2">
      <c r="A870" t="s">
        <v>32</v>
      </c>
      <c r="B870">
        <v>2.5000000000000001E-2</v>
      </c>
      <c r="C870" t="s">
        <v>33</v>
      </c>
      <c r="D870" t="s">
        <v>6</v>
      </c>
      <c r="E870" t="s">
        <v>105</v>
      </c>
      <c r="G870" t="s">
        <v>19</v>
      </c>
      <c r="H870" t="s">
        <v>20</v>
      </c>
    </row>
    <row r="871" spans="1:8" x14ac:dyDescent="0.2">
      <c r="A871" t="s">
        <v>34</v>
      </c>
      <c r="B871">
        <v>104</v>
      </c>
      <c r="C871" t="s">
        <v>35</v>
      </c>
      <c r="D871" t="s">
        <v>6</v>
      </c>
      <c r="E871" t="s">
        <v>105</v>
      </c>
      <c r="G871" t="s">
        <v>19</v>
      </c>
      <c r="H871" t="s">
        <v>20</v>
      </c>
    </row>
    <row r="872" spans="1:8" x14ac:dyDescent="0.2">
      <c r="A872" t="s">
        <v>36</v>
      </c>
      <c r="B872">
        <v>-9.3600000000000003E-2</v>
      </c>
      <c r="C872" t="s">
        <v>37</v>
      </c>
      <c r="D872" t="s">
        <v>21</v>
      </c>
      <c r="E872" t="s">
        <v>106</v>
      </c>
      <c r="G872" t="s">
        <v>19</v>
      </c>
      <c r="H872" t="s">
        <v>20</v>
      </c>
    </row>
    <row r="873" spans="1:8" x14ac:dyDescent="0.2">
      <c r="A873" t="s">
        <v>39</v>
      </c>
      <c r="B873">
        <v>1.04E-2</v>
      </c>
      <c r="D873" t="s">
        <v>6</v>
      </c>
      <c r="E873" t="s">
        <v>106</v>
      </c>
      <c r="F873" t="s">
        <v>40</v>
      </c>
      <c r="G873" t="s">
        <v>41</v>
      </c>
      <c r="H873" t="s">
        <v>42</v>
      </c>
    </row>
    <row r="875" spans="1:8" x14ac:dyDescent="0.2">
      <c r="A875" t="s">
        <v>1</v>
      </c>
      <c r="B875" t="s">
        <v>194</v>
      </c>
    </row>
    <row r="876" spans="1:8" x14ac:dyDescent="0.2">
      <c r="A876" t="s">
        <v>2</v>
      </c>
      <c r="B876">
        <v>1</v>
      </c>
    </row>
    <row r="877" spans="1:8" x14ac:dyDescent="0.2">
      <c r="A877" t="s">
        <v>3</v>
      </c>
      <c r="B877" t="s">
        <v>186</v>
      </c>
    </row>
    <row r="878" spans="1:8" x14ac:dyDescent="0.2">
      <c r="A878" t="s">
        <v>4</v>
      </c>
      <c r="B878" t="s">
        <v>195</v>
      </c>
    </row>
    <row r="879" spans="1:8" x14ac:dyDescent="0.2">
      <c r="A879" t="s">
        <v>5</v>
      </c>
      <c r="B879" t="s">
        <v>6</v>
      </c>
    </row>
    <row r="880" spans="1:8" x14ac:dyDescent="0.2">
      <c r="A880" t="s">
        <v>7</v>
      </c>
      <c r="B880" t="s">
        <v>8</v>
      </c>
    </row>
    <row r="881" spans="1:9" x14ac:dyDescent="0.2">
      <c r="A881" t="s">
        <v>9</v>
      </c>
    </row>
    <row r="882" spans="1:9" x14ac:dyDescent="0.2">
      <c r="A882" t="s">
        <v>10</v>
      </c>
      <c r="B882" t="s">
        <v>11</v>
      </c>
      <c r="C882" t="s">
        <v>4</v>
      </c>
      <c r="D882" t="s">
        <v>5</v>
      </c>
      <c r="E882" t="s">
        <v>7</v>
      </c>
      <c r="F882" t="s">
        <v>12</v>
      </c>
      <c r="G882" t="s">
        <v>13</v>
      </c>
      <c r="H882" t="s">
        <v>14</v>
      </c>
      <c r="I882" t="s">
        <v>3</v>
      </c>
    </row>
    <row r="883" spans="1:9" x14ac:dyDescent="0.2">
      <c r="A883" t="s">
        <v>194</v>
      </c>
      <c r="B883">
        <v>1</v>
      </c>
      <c r="C883" t="s">
        <v>195</v>
      </c>
      <c r="D883" t="s">
        <v>6</v>
      </c>
      <c r="E883" t="s">
        <v>8</v>
      </c>
      <c r="G883" t="s">
        <v>15</v>
      </c>
      <c r="H883" t="s">
        <v>23</v>
      </c>
    </row>
    <row r="884" spans="1:9" x14ac:dyDescent="0.2">
      <c r="A884" t="s">
        <v>16</v>
      </c>
      <c r="B884">
        <v>2.2999999999999998</v>
      </c>
      <c r="C884" t="s">
        <v>17</v>
      </c>
      <c r="D884" t="s">
        <v>6</v>
      </c>
      <c r="E884" t="s">
        <v>103</v>
      </c>
      <c r="G884" t="s">
        <v>19</v>
      </c>
      <c r="H884" t="s">
        <v>20</v>
      </c>
    </row>
    <row r="885" spans="1:9" x14ac:dyDescent="0.2">
      <c r="A885" t="s">
        <v>196</v>
      </c>
      <c r="B885">
        <v>17.100000000000001</v>
      </c>
      <c r="C885" t="s">
        <v>197</v>
      </c>
      <c r="D885" t="s">
        <v>6</v>
      </c>
      <c r="E885" t="s">
        <v>104</v>
      </c>
      <c r="G885" t="s">
        <v>19</v>
      </c>
      <c r="H885" t="s">
        <v>23</v>
      </c>
    </row>
    <row r="886" spans="1:9" x14ac:dyDescent="0.2">
      <c r="A886" t="s">
        <v>92</v>
      </c>
      <c r="B886">
        <v>3.5999999999999997E-2</v>
      </c>
      <c r="C886" t="s">
        <v>93</v>
      </c>
      <c r="D886" t="s">
        <v>6</v>
      </c>
      <c r="E886" t="s">
        <v>105</v>
      </c>
      <c r="G886" t="s">
        <v>19</v>
      </c>
      <c r="H886" t="s">
        <v>23</v>
      </c>
    </row>
    <row r="887" spans="1:9" x14ac:dyDescent="0.2">
      <c r="A887" t="s">
        <v>24</v>
      </c>
      <c r="B887">
        <v>2.4E-2</v>
      </c>
      <c r="C887" t="s">
        <v>25</v>
      </c>
      <c r="D887" t="s">
        <v>6</v>
      </c>
      <c r="E887" t="s">
        <v>105</v>
      </c>
      <c r="G887" t="s">
        <v>19</v>
      </c>
      <c r="H887" t="s">
        <v>20</v>
      </c>
    </row>
    <row r="888" spans="1:9" x14ac:dyDescent="0.2">
      <c r="A888" t="s">
        <v>26</v>
      </c>
      <c r="B888">
        <v>8.0000000000000002E-3</v>
      </c>
      <c r="C888" t="s">
        <v>27</v>
      </c>
      <c r="D888" t="s">
        <v>6</v>
      </c>
      <c r="E888" t="s">
        <v>105</v>
      </c>
      <c r="G888" t="s">
        <v>19</v>
      </c>
      <c r="H888" t="s">
        <v>20</v>
      </c>
    </row>
    <row r="889" spans="1:9" x14ac:dyDescent="0.2">
      <c r="A889" t="s">
        <v>43</v>
      </c>
      <c r="B889">
        <v>0.125</v>
      </c>
      <c r="C889" t="s">
        <v>44</v>
      </c>
      <c r="D889" t="s">
        <v>21</v>
      </c>
      <c r="E889" t="s">
        <v>105</v>
      </c>
      <c r="G889" t="s">
        <v>19</v>
      </c>
      <c r="H889" t="s">
        <v>20</v>
      </c>
    </row>
    <row r="890" spans="1:9" x14ac:dyDescent="0.2">
      <c r="A890" t="s">
        <v>24</v>
      </c>
      <c r="B890">
        <v>6.5000000000000002E-2</v>
      </c>
      <c r="C890" t="s">
        <v>25</v>
      </c>
      <c r="D890" t="s">
        <v>6</v>
      </c>
      <c r="E890" t="s">
        <v>105</v>
      </c>
      <c r="G890" t="s">
        <v>19</v>
      </c>
      <c r="H890" t="s">
        <v>20</v>
      </c>
    </row>
    <row r="891" spans="1:9" x14ac:dyDescent="0.2">
      <c r="A891" t="s">
        <v>45</v>
      </c>
      <c r="B891">
        <v>2.5000000000000001E-2</v>
      </c>
      <c r="C891" t="s">
        <v>46</v>
      </c>
      <c r="D891" t="s">
        <v>21</v>
      </c>
      <c r="E891" t="s">
        <v>105</v>
      </c>
      <c r="G891" t="s">
        <v>19</v>
      </c>
      <c r="H891" t="s">
        <v>20</v>
      </c>
    </row>
    <row r="892" spans="1:9" x14ac:dyDescent="0.2">
      <c r="A892" t="s">
        <v>32</v>
      </c>
      <c r="B892">
        <v>2.5000000000000001E-2</v>
      </c>
      <c r="C892" t="s">
        <v>33</v>
      </c>
      <c r="D892" t="s">
        <v>6</v>
      </c>
      <c r="E892" t="s">
        <v>105</v>
      </c>
      <c r="G892" t="s">
        <v>19</v>
      </c>
      <c r="H892" t="s">
        <v>20</v>
      </c>
    </row>
    <row r="893" spans="1:9" x14ac:dyDescent="0.2">
      <c r="A893" t="s">
        <v>34</v>
      </c>
      <c r="B893">
        <v>104</v>
      </c>
      <c r="C893" t="s">
        <v>35</v>
      </c>
      <c r="D893" t="s">
        <v>6</v>
      </c>
      <c r="E893" t="s">
        <v>105</v>
      </c>
      <c r="G893" t="s">
        <v>19</v>
      </c>
      <c r="H893" t="s">
        <v>20</v>
      </c>
    </row>
    <row r="894" spans="1:9" x14ac:dyDescent="0.2">
      <c r="A894" t="s">
        <v>36</v>
      </c>
      <c r="B894">
        <v>-9.3600000000000003E-2</v>
      </c>
      <c r="C894" t="s">
        <v>37</v>
      </c>
      <c r="D894" t="s">
        <v>21</v>
      </c>
      <c r="E894" t="s">
        <v>106</v>
      </c>
      <c r="G894" t="s">
        <v>19</v>
      </c>
      <c r="H894" t="s">
        <v>20</v>
      </c>
    </row>
    <row r="895" spans="1:9" x14ac:dyDescent="0.2">
      <c r="A895" t="s">
        <v>39</v>
      </c>
      <c r="B895">
        <v>1.04E-2</v>
      </c>
      <c r="D895" t="s">
        <v>6</v>
      </c>
      <c r="E895" t="s">
        <v>106</v>
      </c>
      <c r="F895" t="s">
        <v>40</v>
      </c>
      <c r="G895" t="s">
        <v>41</v>
      </c>
      <c r="H895" t="s">
        <v>42</v>
      </c>
    </row>
    <row r="897" spans="1:9" x14ac:dyDescent="0.2">
      <c r="A897" t="s">
        <v>1</v>
      </c>
      <c r="B897" t="s">
        <v>196</v>
      </c>
    </row>
    <row r="898" spans="1:9" x14ac:dyDescent="0.2">
      <c r="A898" t="s">
        <v>2</v>
      </c>
      <c r="B898">
        <v>1</v>
      </c>
    </row>
    <row r="899" spans="1:9" x14ac:dyDescent="0.2">
      <c r="A899" t="s">
        <v>3</v>
      </c>
    </row>
    <row r="900" spans="1:9" x14ac:dyDescent="0.2">
      <c r="A900" t="s">
        <v>4</v>
      </c>
      <c r="B900" t="s">
        <v>197</v>
      </c>
    </row>
    <row r="901" spans="1:9" x14ac:dyDescent="0.2">
      <c r="A901" t="s">
        <v>5</v>
      </c>
      <c r="B901" t="s">
        <v>6</v>
      </c>
    </row>
    <row r="902" spans="1:9" x14ac:dyDescent="0.2">
      <c r="A902" t="s">
        <v>7</v>
      </c>
      <c r="B902" t="s">
        <v>22</v>
      </c>
    </row>
    <row r="903" spans="1:9" x14ac:dyDescent="0.2">
      <c r="A903" t="s">
        <v>9</v>
      </c>
    </row>
    <row r="904" spans="1:9" x14ac:dyDescent="0.2">
      <c r="A904" t="s">
        <v>10</v>
      </c>
      <c r="B904" t="s">
        <v>11</v>
      </c>
      <c r="C904" t="s">
        <v>4</v>
      </c>
      <c r="D904" t="s">
        <v>5</v>
      </c>
      <c r="E904" t="s">
        <v>7</v>
      </c>
      <c r="F904" t="s">
        <v>12</v>
      </c>
      <c r="G904" t="s">
        <v>13</v>
      </c>
      <c r="H904" t="s">
        <v>14</v>
      </c>
      <c r="I904" t="s">
        <v>3</v>
      </c>
    </row>
    <row r="905" spans="1:9" x14ac:dyDescent="0.2">
      <c r="A905" t="s">
        <v>196</v>
      </c>
      <c r="B905">
        <v>1</v>
      </c>
      <c r="C905" t="s">
        <v>197</v>
      </c>
      <c r="D905" t="s">
        <v>6</v>
      </c>
      <c r="E905" t="s">
        <v>104</v>
      </c>
      <c r="G905" t="s">
        <v>15</v>
      </c>
      <c r="H905" t="s">
        <v>23</v>
      </c>
    </row>
    <row r="906" spans="1:9" x14ac:dyDescent="0.2">
      <c r="A906" t="s">
        <v>198</v>
      </c>
      <c r="B906">
        <f>0.5*0.95</f>
        <v>0.47499999999999998</v>
      </c>
      <c r="C906" t="s">
        <v>199</v>
      </c>
      <c r="D906" t="s">
        <v>21</v>
      </c>
      <c r="E906" t="s">
        <v>104</v>
      </c>
      <c r="G906" t="s">
        <v>19</v>
      </c>
      <c r="H906" t="s">
        <v>20</v>
      </c>
    </row>
    <row r="907" spans="1:9" x14ac:dyDescent="0.2">
      <c r="A907" t="s">
        <v>200</v>
      </c>
      <c r="B907">
        <f>0.2*0.8</f>
        <v>0.16000000000000003</v>
      </c>
      <c r="C907" t="s">
        <v>201</v>
      </c>
      <c r="D907" t="s">
        <v>21</v>
      </c>
      <c r="E907" t="s">
        <v>104</v>
      </c>
      <c r="G907" t="s">
        <v>19</v>
      </c>
      <c r="H907" t="s">
        <v>20</v>
      </c>
    </row>
    <row r="908" spans="1:9" ht="16" x14ac:dyDescent="0.2">
      <c r="A908" t="s">
        <v>202</v>
      </c>
      <c r="B908">
        <f>0.3*0.95</f>
        <v>0.28499999999999998</v>
      </c>
      <c r="C908" s="3" t="s">
        <v>201</v>
      </c>
      <c r="D908" t="s">
        <v>21</v>
      </c>
      <c r="E908" t="s">
        <v>104</v>
      </c>
      <c r="G908" t="s">
        <v>19</v>
      </c>
      <c r="H908" t="s">
        <v>20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 Carrières</cp:lastModifiedBy>
  <dcterms:created xsi:type="dcterms:W3CDTF">2026-02-11T13:32:08Z</dcterms:created>
  <dcterms:modified xsi:type="dcterms:W3CDTF">2026-03-12T16:55:37Z</dcterms:modified>
</cp:coreProperties>
</file>