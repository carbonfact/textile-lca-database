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8000" tabRatio="600" firstSheet="0" activeTab="0" autoFilterDateGrouping="1"/>
  </bookViews>
  <sheets>
    <sheet xmlns:r="http://schemas.openxmlformats.org/officeDocument/2006/relationships" name="READ ME" sheetId="1" state="visible" r:id="rId1"/>
    <sheet xmlns:r="http://schemas.openxmlformats.org/officeDocument/2006/relationships" name="Parameter values" sheetId="2" state="visible" r:id="rId2"/>
    <sheet xmlns:r="http://schemas.openxmlformats.org/officeDocument/2006/relationships" name="Formula calculations" sheetId="3" state="visible" r:id="rId3"/>
    <sheet xmlns:r="http://schemas.openxmlformats.org/officeDocument/2006/relationships" name="Brightway imports" sheetId="4" state="visible" r:id="rId4"/>
    <sheet xmlns:r="http://schemas.openxmlformats.org/officeDocument/2006/relationships" name="EF3.1 Results" sheetId="5" state="visible" r:id="rId5"/>
    <sheet xmlns:r="http://schemas.openxmlformats.org/officeDocument/2006/relationships" name="Climate change comparison" sheetId="6" state="visible" r:id="rId6"/>
  </sheets>
  <definedNames/>
  <calcPr calcId="191029" fullCalcOnLoad="1"/>
</workbook>
</file>

<file path=xl/styles.xml><?xml version="1.0" encoding="utf-8"?>
<styleSheet xmlns="http://schemas.openxmlformats.org/spreadsheetml/2006/main">
  <numFmts count="3">
    <numFmt numFmtId="164" formatCode="0.000"/>
    <numFmt numFmtId="165" formatCode="0.000000"/>
    <numFmt numFmtId="166" formatCode="0.0000"/>
  </numFmts>
  <fonts count="31">
    <font>
      <name val="Aptos Narrow"/>
      <family val="2"/>
      <color theme="1"/>
      <sz val="12"/>
      <scheme val="minor"/>
    </font>
    <font>
      <name val="Aptos Narrow"/>
      <family val="2"/>
      <b val="1"/>
      <color theme="1"/>
      <sz val="12"/>
      <scheme val="minor"/>
    </font>
    <font>
      <name val="Calibri"/>
      <family val="2"/>
      <color rgb="FF000000"/>
      <sz val="11"/>
    </font>
    <font>
      <name val="Aptos Narrow"/>
      <family val="2"/>
      <color theme="1"/>
      <sz val="11"/>
      <scheme val="minor"/>
    </font>
    <font>
      <name val="Aptos Narrow"/>
      <family val="2"/>
      <color rgb="FF000000"/>
      <sz val="11"/>
      <scheme val="minor"/>
    </font>
    <font>
      <name val="Aptos Narrow"/>
      <b val="1"/>
      <color theme="1"/>
      <sz val="12"/>
      <scheme val="minor"/>
    </font>
    <font>
      <name val="Aptos Narrow"/>
      <color theme="1"/>
      <sz val="12"/>
      <scheme val="minor"/>
    </font>
    <font>
      <name val="Aptos Narrow"/>
      <family val="2"/>
      <color theme="1"/>
      <sz val="12"/>
      <scheme val="minor"/>
    </font>
    <font>
      <name val="Aptos Narrow"/>
      <b val="1"/>
      <i val="1"/>
      <color rgb="FF000000"/>
      <sz val="11"/>
      <scheme val="minor"/>
    </font>
    <font>
      <name val="Aptos Narrow"/>
      <family val="2"/>
      <sz val="8"/>
      <scheme val="minor"/>
    </font>
    <font>
      <name val="Aptos Narrow"/>
      <family val="2"/>
      <color rgb="FF000000"/>
      <sz val="12"/>
      <scheme val="minor"/>
    </font>
    <font>
      <name val="Aptos Narrow"/>
      <color rgb="FFFF0000"/>
      <sz val="12"/>
      <scheme val="minor"/>
    </font>
    <font>
      <name val="Aptos Narrow"/>
      <b val="1"/>
      <i val="1"/>
      <color theme="1"/>
      <sz val="12"/>
      <scheme val="minor"/>
    </font>
    <font>
      <name val="Aptos Narrow"/>
      <b val="1"/>
      <i val="1"/>
      <color rgb="FFFF0000"/>
      <sz val="12"/>
      <scheme val="minor"/>
    </font>
    <font>
      <name val="Aptos Narrow"/>
      <family val="2"/>
      <sz val="12"/>
      <scheme val="minor"/>
    </font>
    <font>
      <name val="Aptos Narrow"/>
      <family val="2"/>
      <color rgb="FF0000FF"/>
      <sz val="11"/>
      <scheme val="minor"/>
    </font>
    <font>
      <name val="Aptos Narrow"/>
      <color rgb="FF00B050"/>
      <sz val="12"/>
      <scheme val="minor"/>
    </font>
    <font>
      <name val="Aptos Narrow"/>
      <family val="2"/>
      <color rgb="FF0000FF"/>
      <sz val="12"/>
      <scheme val="minor"/>
    </font>
    <font>
      <name val="Aptos Narrow"/>
      <b val="1"/>
      <color rgb="FFFF0000"/>
      <sz val="12"/>
      <scheme val="minor"/>
    </font>
    <font>
      <name val="Aptos Narrow"/>
      <family val="2"/>
      <color theme="1"/>
      <sz val="38"/>
      <scheme val="minor"/>
    </font>
    <font>
      <name val="Arial"/>
      <family val="2"/>
      <b val="1"/>
      <color theme="1"/>
      <sz val="14"/>
    </font>
    <font>
      <name val="Aptos Narrow"/>
      <family val="2"/>
      <b val="1"/>
      <color theme="1"/>
      <sz val="14"/>
      <scheme val="minor"/>
    </font>
    <font>
      <name val="Aptos Narrow"/>
      <b val="1"/>
      <i val="1"/>
      <color theme="1"/>
      <sz val="11"/>
      <scheme val="minor"/>
    </font>
    <font>
      <name val="Aptos Narrow"/>
      <i val="1"/>
      <color theme="1"/>
      <sz val="12"/>
      <scheme val="minor"/>
    </font>
    <font>
      <name val="Aptos Narrow"/>
      <b val="1"/>
      <color theme="1"/>
      <sz val="11"/>
      <scheme val="minor"/>
    </font>
    <font>
      <name val="Aptos Narrow"/>
      <color theme="1"/>
      <sz val="11"/>
      <scheme val="minor"/>
    </font>
    <font>
      <name val="Aptos Narrow"/>
      <i val="1"/>
      <color rgb="FF0000FF"/>
      <sz val="12"/>
      <scheme val="minor"/>
    </font>
    <font>
      <name val="Aptos Narrow (Body)"/>
      <color rgb="FF0000FF"/>
      <sz val="11"/>
    </font>
    <font>
      <name val="Aptos Narrow"/>
      <family val="2"/>
      <b val="1"/>
      <color theme="1"/>
      <sz val="11"/>
      <scheme val="minor"/>
    </font>
    <font>
      <name val="Aptos Narrow"/>
      <color rgb="FF000000"/>
      <sz val="11"/>
      <scheme val="minor"/>
    </font>
    <font>
      <name val="Arial"/>
      <family val="2"/>
      <color rgb="FF222222"/>
      <sz val="12"/>
    </font>
  </fonts>
  <fills count="6">
    <fill>
      <patternFill/>
    </fill>
    <fill>
      <patternFill patternType="gray125"/>
    </fill>
    <fill>
      <patternFill patternType="solid">
        <fgColor rgb="FFDEEAF6"/>
        <bgColor rgb="FFDEEAF6"/>
      </patternFill>
    </fill>
    <fill>
      <patternFill patternType="solid">
        <fgColor rgb="FFC0E6F5"/>
        <bgColor rgb="FFC0E6F5"/>
      </patternFill>
    </fill>
    <fill>
      <patternFill patternType="solid">
        <fgColor theme="6" tint="0.7999816888943144"/>
        <bgColor indexed="64"/>
      </patternFill>
    </fill>
    <fill>
      <patternFill patternType="solid">
        <fgColor theme="4" tint="0.7999816888943144"/>
        <bgColor indexed="64"/>
      </patternFill>
    </fill>
  </fills>
  <borders count="20">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n">
        <color theme="4" tint="0.3999755851924192"/>
      </left>
      <right/>
      <top style="thin">
        <color theme="4" tint="0.3999755851924192"/>
      </top>
      <bottom/>
      <diagonal/>
    </border>
    <border>
      <left/>
      <right/>
      <top style="thin">
        <color theme="4" tint="0.3999755851924192"/>
      </top>
      <bottom/>
      <diagonal/>
    </border>
    <border>
      <left/>
      <right style="thin">
        <color theme="4" tint="0.3999755851924192"/>
      </right>
      <top style="thin">
        <color theme="4" tint="0.3999755851924192"/>
      </top>
      <bottom/>
      <diagonal/>
    </border>
    <border>
      <left style="thin">
        <color auto="1"/>
      </left>
      <right style="thin">
        <color auto="1"/>
      </right>
      <top style="thin">
        <color auto="1"/>
      </top>
      <bottom style="thin">
        <color auto="1"/>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7" fillId="0" borderId="0"/>
    <xf numFmtId="0" fontId="3" fillId="0" borderId="0"/>
  </cellStyleXfs>
  <cellXfs count="100">
    <xf numFmtId="0" fontId="0" fillId="0" borderId="0" pivotButton="0" quotePrefix="0" xfId="0"/>
    <xf numFmtId="0" fontId="2" fillId="2"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8" fillId="0" borderId="0" pivotButton="0" quotePrefix="0" xfId="0"/>
    <xf numFmtId="0" fontId="7" fillId="0" borderId="0" pivotButton="0" quotePrefix="0" xfId="1"/>
    <xf numFmtId="0" fontId="0" fillId="0" borderId="0" pivotButton="0" quotePrefix="0" xfId="1"/>
    <xf numFmtId="2" fontId="0" fillId="0" borderId="0" pivotButton="0" quotePrefix="0" xfId="0"/>
    <xf numFmtId="0" fontId="0" fillId="0" borderId="0" applyAlignment="1" pivotButton="0" quotePrefix="0" xfId="0">
      <alignment wrapText="1"/>
    </xf>
    <xf numFmtId="0" fontId="6" fillId="0" borderId="0" pivotButton="0" quotePrefix="0" xfId="1"/>
    <xf numFmtId="0" fontId="11" fillId="0" borderId="0" pivotButton="0" quotePrefix="0" xfId="1"/>
    <xf numFmtId="0" fontId="5" fillId="0" borderId="0" pivotButton="0" quotePrefix="0" xfId="1"/>
    <xf numFmtId="0" fontId="12" fillId="0" borderId="0" pivotButton="0" quotePrefix="0" xfId="1"/>
    <xf numFmtId="0" fontId="13" fillId="0" borderId="0" pivotButton="0" quotePrefix="0" xfId="1"/>
    <xf numFmtId="0" fontId="14" fillId="0" borderId="1" pivotButton="0" quotePrefix="0" xfId="0"/>
    <xf numFmtId="0" fontId="14" fillId="0" borderId="2" pivotButton="0" quotePrefix="0" xfId="0"/>
    <xf numFmtId="0" fontId="10" fillId="0" borderId="3" pivotButton="0" quotePrefix="0" xfId="0"/>
    <xf numFmtId="0" fontId="12" fillId="0" borderId="0" pivotButton="0" quotePrefix="0" xfId="0"/>
    <xf numFmtId="0" fontId="15" fillId="0" borderId="0" pivotButton="0" quotePrefix="0" xfId="0"/>
    <xf numFmtId="0" fontId="17" fillId="0" borderId="0" pivotButton="0" quotePrefix="0" xfId="0"/>
    <xf numFmtId="0" fontId="16" fillId="0" borderId="0" applyAlignment="1" pivotButton="0" quotePrefix="0" xfId="1">
      <alignment wrapText="1"/>
    </xf>
    <xf numFmtId="0" fontId="14" fillId="0" borderId="0" pivotButton="0" quotePrefix="0" xfId="0"/>
    <xf numFmtId="0" fontId="18" fillId="0" borderId="0" pivotButton="0" quotePrefix="0" xfId="1"/>
    <xf numFmtId="0" fontId="15" fillId="0" borderId="0" pivotButton="0" quotePrefix="0" xfId="1"/>
    <xf numFmtId="0" fontId="11" fillId="0" borderId="0" pivotButton="0" quotePrefix="0" xfId="0"/>
    <xf numFmtId="11" fontId="0" fillId="0" borderId="0" pivotButton="0" quotePrefix="0" xfId="0"/>
    <xf numFmtId="0" fontId="10" fillId="0" borderId="2" pivotButton="0" quotePrefix="0" xfId="0"/>
    <xf numFmtId="0" fontId="0" fillId="0" borderId="4" pivotButton="0" quotePrefix="0" xfId="0"/>
    <xf numFmtId="0" fontId="0" fillId="0" borderId="5" pivotButton="0" quotePrefix="0" xfId="0"/>
    <xf numFmtId="0" fontId="0" fillId="0" borderId="6" applyAlignment="1" pivotButton="0" quotePrefix="0" xfId="0">
      <alignment wrapText="1"/>
    </xf>
    <xf numFmtId="0" fontId="0" fillId="0" borderId="7" pivotButton="0" quotePrefix="0" xfId="0"/>
    <xf numFmtId="0" fontId="0" fillId="0" borderId="8" pivotButton="0" quotePrefix="0" xfId="0"/>
    <xf numFmtId="0" fontId="0" fillId="0" borderId="9" applyAlignment="1" pivotButton="0" quotePrefix="0" xfId="0">
      <alignment wrapText="1"/>
    </xf>
    <xf numFmtId="0" fontId="0" fillId="0" borderId="4" applyAlignment="1" pivotButton="0" quotePrefix="0" xfId="0">
      <alignment wrapText="1"/>
    </xf>
    <xf numFmtId="0" fontId="20" fillId="0" borderId="0" applyAlignment="1" pivotButton="0" quotePrefix="0" xfId="0">
      <alignment vertical="center"/>
    </xf>
    <xf numFmtId="0" fontId="21" fillId="0" borderId="0" pivotButton="0" quotePrefix="0" xfId="0"/>
    <xf numFmtId="0" fontId="3" fillId="0" borderId="0" applyAlignment="1" pivotButton="0" quotePrefix="0" xfId="0">
      <alignment vertical="top" wrapText="1"/>
    </xf>
    <xf numFmtId="0" fontId="3"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1"/>
    <xf numFmtId="0" fontId="22" fillId="0" borderId="0" applyAlignment="1" pivotButton="0" quotePrefix="0" xfId="0">
      <alignment horizontal="center"/>
    </xf>
    <xf numFmtId="0" fontId="22" fillId="0" borderId="0" pivotButton="0" quotePrefix="0" xfId="0"/>
    <xf numFmtId="0" fontId="23" fillId="0" borderId="0" pivotButton="0" quotePrefix="0" xfId="0"/>
    <xf numFmtId="0" fontId="26" fillId="0" borderId="0" pivotButton="0" quotePrefix="0" xfId="0"/>
    <xf numFmtId="164" fontId="0" fillId="0" borderId="0" pivotButton="0" quotePrefix="0" xfId="0"/>
    <xf numFmtId="0" fontId="10" fillId="3" borderId="0" pivotButton="0" quotePrefix="0" xfId="0"/>
    <xf numFmtId="0" fontId="0" fillId="0" borderId="1" pivotButton="0" quotePrefix="0" xfId="0"/>
    <xf numFmtId="0" fontId="0" fillId="0" borderId="2" pivotButton="0" quotePrefix="0" xfId="0"/>
    <xf numFmtId="0" fontId="10" fillId="0" borderId="0" pivotButton="0" quotePrefix="0" xfId="0"/>
    <xf numFmtId="0" fontId="3" fillId="0" borderId="0" applyAlignment="1" pivotButton="0" quotePrefix="0" xfId="0">
      <alignment horizontal="center" vertical="top" wrapText="1"/>
    </xf>
    <xf numFmtId="0" fontId="19" fillId="0" borderId="0" pivotButton="0" quotePrefix="0" xfId="0"/>
    <xf numFmtId="0" fontId="0" fillId="0" borderId="0" pivotButton="0" quotePrefix="0" xfId="0"/>
    <xf numFmtId="0" fontId="3" fillId="0" borderId="0" pivotButton="0" quotePrefix="0" xfId="1"/>
    <xf numFmtId="0" fontId="28" fillId="0" borderId="10" applyAlignment="1" pivotButton="0" quotePrefix="0" xfId="1">
      <alignment horizontal="center" vertical="top"/>
    </xf>
    <xf numFmtId="0" fontId="0" fillId="0" borderId="0" applyAlignment="1" pivotButton="0" quotePrefix="0" xfId="0">
      <alignment horizontal="center"/>
    </xf>
    <xf numFmtId="0" fontId="28" fillId="4" borderId="0" applyAlignment="1" pivotButton="0" quotePrefix="0" xfId="0">
      <alignment horizontal="center"/>
    </xf>
    <xf numFmtId="0" fontId="28" fillId="5" borderId="11" applyAlignment="1" pivotButton="0" quotePrefix="0" xfId="0">
      <alignment horizontal="center" wrapText="1"/>
    </xf>
    <xf numFmtId="0" fontId="28" fillId="5" borderId="0" applyAlignment="1" pivotButton="0" quotePrefix="0" xfId="0">
      <alignment horizontal="center"/>
    </xf>
    <xf numFmtId="0" fontId="0" fillId="0" borderId="16" applyAlignment="1" pivotButton="0" quotePrefix="0" xfId="0">
      <alignment horizontal="center"/>
    </xf>
    <xf numFmtId="165" fontId="0" fillId="0" borderId="17" applyAlignment="1" pivotButton="0" quotePrefix="0" xfId="0">
      <alignment horizontal="center"/>
    </xf>
    <xf numFmtId="0" fontId="0" fillId="0" borderId="18" applyAlignment="1" pivotButton="0" quotePrefix="0" xfId="0">
      <alignment horizontal="center"/>
    </xf>
    <xf numFmtId="0" fontId="0" fillId="0" borderId="0" applyAlignment="1" pivotButton="0" quotePrefix="0" xfId="0">
      <alignment horizontal="center"/>
    </xf>
    <xf numFmtId="0" fontId="28" fillId="0" borderId="0" applyAlignment="1" pivotButton="0" quotePrefix="0" xfId="0">
      <alignment horizontal="left" vertical="top" wrapText="1"/>
    </xf>
    <xf numFmtId="0" fontId="28" fillId="0" borderId="0" applyAlignment="1" pivotButton="0" quotePrefix="0" xfId="0">
      <alignment horizontal="left" vertical="top"/>
    </xf>
    <xf numFmtId="0" fontId="25" fillId="0" borderId="19" applyAlignment="1" pivotButton="0" quotePrefix="0" xfId="0">
      <alignment horizontal="center" wrapText="1"/>
    </xf>
    <xf numFmtId="0" fontId="0" fillId="0" borderId="12" applyAlignment="1" pivotButton="0" quotePrefix="0" xfId="0">
      <alignment horizontal="left"/>
    </xf>
    <xf numFmtId="0" fontId="0" fillId="0" borderId="14" applyAlignment="1" pivotButton="0" quotePrefix="0" xfId="0">
      <alignment horizontal="left"/>
    </xf>
    <xf numFmtId="0" fontId="0" fillId="0" borderId="16" applyAlignment="1" pivotButton="0" quotePrefix="0" xfId="0">
      <alignment horizontal="left"/>
    </xf>
    <xf numFmtId="0" fontId="0" fillId="0" borderId="0" applyAlignment="1" pivotButton="0" quotePrefix="0" xfId="0">
      <alignment horizontal="left"/>
    </xf>
    <xf numFmtId="0" fontId="6" fillId="0" borderId="12" applyAlignment="1" pivotButton="0" quotePrefix="0" xfId="0">
      <alignment horizontal="left"/>
    </xf>
    <xf numFmtId="0" fontId="6" fillId="0" borderId="14" applyAlignment="1" pivotButton="0" quotePrefix="0" xfId="0">
      <alignment horizontal="left"/>
    </xf>
    <xf numFmtId="0" fontId="6" fillId="0" borderId="16" applyAlignment="1" pivotButton="0" quotePrefix="0" xfId="0">
      <alignment horizontal="left"/>
    </xf>
    <xf numFmtId="0" fontId="6" fillId="0" borderId="0" applyAlignment="1" pivotButton="0" quotePrefix="0" xfId="0">
      <alignment horizontal="left"/>
    </xf>
    <xf numFmtId="0" fontId="29" fillId="0" borderId="12" applyAlignment="1" pivotButton="0" quotePrefix="0" xfId="0">
      <alignment horizontal="left"/>
    </xf>
    <xf numFmtId="0" fontId="25" fillId="0" borderId="14" applyAlignment="1" pivotButton="0" quotePrefix="0" xfId="0">
      <alignment horizontal="left" vertical="top"/>
    </xf>
    <xf numFmtId="0" fontId="30" fillId="0" borderId="0" pivotButton="0" quotePrefix="0" xfId="0"/>
    <xf numFmtId="0" fontId="0" fillId="0" borderId="0" pivotButton="0" quotePrefix="0" xfId="0"/>
    <xf numFmtId="0" fontId="5" fillId="0" borderId="0" pivotButton="0" quotePrefix="0" xfId="0"/>
    <xf numFmtId="166" fontId="0" fillId="0" borderId="18" applyAlignment="1" pivotButton="0" quotePrefix="0" xfId="0">
      <alignment horizontal="center"/>
    </xf>
    <xf numFmtId="166" fontId="0" fillId="0" borderId="13" applyAlignment="1" pivotButton="0" quotePrefix="0" xfId="0">
      <alignment horizontal="center"/>
    </xf>
    <xf numFmtId="166" fontId="0" fillId="0" borderId="15" applyAlignment="1" pivotButton="0" quotePrefix="0" xfId="0">
      <alignment horizontal="center"/>
    </xf>
    <xf numFmtId="166" fontId="0" fillId="0" borderId="17" applyAlignment="1" pivotButton="0" quotePrefix="0" xfId="0">
      <alignment horizontal="center"/>
    </xf>
    <xf numFmtId="166" fontId="0" fillId="0" borderId="11" applyAlignment="1" pivotButton="0" quotePrefix="0" xfId="0">
      <alignment horizontal="center"/>
    </xf>
    <xf numFmtId="166" fontId="0" fillId="0" borderId="12" applyAlignment="1" pivotButton="0" quotePrefix="0" xfId="0">
      <alignment horizontal="center"/>
    </xf>
    <xf numFmtId="166" fontId="0" fillId="0" borderId="14" applyAlignment="1" pivotButton="0" quotePrefix="0" xfId="0">
      <alignment horizontal="center"/>
    </xf>
    <xf numFmtId="166" fontId="0" fillId="0" borderId="16" applyAlignment="1" pivotButton="0" quotePrefix="0" xfId="0">
      <alignment horizontal="center"/>
    </xf>
    <xf numFmtId="166" fontId="0" fillId="0" borderId="0" applyAlignment="1" pivotButton="0" quotePrefix="0" xfId="0">
      <alignment horizontal="center"/>
    </xf>
    <xf numFmtId="166" fontId="0" fillId="0" borderId="12" applyAlignment="1" pivotButton="0" quotePrefix="0" xfId="0">
      <alignment horizontal="center"/>
    </xf>
    <xf numFmtId="166" fontId="0" fillId="0" borderId="18" applyAlignment="1" pivotButton="0" quotePrefix="0" xfId="0">
      <alignment horizontal="center"/>
    </xf>
    <xf numFmtId="166" fontId="0" fillId="0" borderId="13" applyAlignment="1" pivotButton="0" quotePrefix="0" xfId="0">
      <alignment horizontal="center"/>
    </xf>
    <xf numFmtId="166" fontId="0" fillId="0" borderId="14" applyAlignment="1" pivotButton="0" quotePrefix="0" xfId="0">
      <alignment horizontal="center"/>
    </xf>
    <xf numFmtId="166" fontId="0" fillId="0" borderId="15" applyAlignment="1" pivotButton="0" quotePrefix="0" xfId="0">
      <alignment horizontal="center"/>
    </xf>
    <xf numFmtId="166" fontId="0" fillId="0" borderId="16" applyAlignment="1" pivotButton="0" quotePrefix="0" xfId="0">
      <alignment horizontal="center"/>
    </xf>
    <xf numFmtId="166" fontId="0" fillId="0" borderId="17" applyAlignment="1" pivotButton="0" quotePrefix="0" xfId="0">
      <alignment horizontal="center"/>
    </xf>
    <xf numFmtId="166" fontId="0" fillId="0" borderId="0" applyAlignment="1" pivotButton="0" quotePrefix="0" xfId="0">
      <alignment horizontal="center"/>
    </xf>
    <xf numFmtId="166" fontId="0" fillId="0" borderId="11" applyAlignment="1" pivotButton="0" quotePrefix="0" xfId="0">
      <alignment horizontal="center"/>
    </xf>
  </cellXfs>
  <cellStyles count="2">
    <cellStyle name="Normal" xfId="0" builtinId="0"/>
    <cellStyle name="Normal 2" xfId="1"/>
  </cellStyles>
  <dxfs count="10">
    <dxf>
      <font>
        <color rgb="FF006100"/>
      </font>
      <fill>
        <patternFill>
          <bgColor rgb="FFC6EFCE"/>
        </patternFill>
      </fill>
    </dxf>
    <dxf>
      <font>
        <color rgb="FF9C0006"/>
      </font>
      <fill>
        <patternFill>
          <bgColor rgb="FFFFC7CE"/>
        </patternFill>
      </fill>
    </dxf>
    <dxf>
      <fill>
        <patternFill>
          <bgColor auto="1"/>
        </patternFill>
      </fill>
      <alignment horizontal="general" vertical="bottom" wrapText="1"/>
    </dxf>
    <dxf>
      <fill>
        <patternFill>
          <bgColor auto="1"/>
        </patternFill>
      </fill>
    </dxf>
    <dxf>
      <fill>
        <patternFill>
          <bgColor auto="1"/>
        </patternFill>
      </fill>
    </dxf>
    <dxf>
      <font>
        <name val="Aptos Narrow"/>
        <family val="2"/>
        <strike val="0"/>
        <outline val="0"/>
        <shadow val="0"/>
        <color theme="1"/>
        <sz val="12"/>
        <vertAlign val="baseline"/>
        <scheme val="minor"/>
      </font>
      <fill>
        <patternFill>
          <bgColor auto="1"/>
        </patternFill>
      </fill>
    </dxf>
    <dxf>
      <fill>
        <patternFill>
          <bgColor auto="1"/>
        </patternFill>
      </fill>
    </dxf>
    <dxf>
      <fill>
        <patternFill>
          <bgColor auto="1"/>
        </patternFill>
      </fill>
    </dxf>
    <dxf>
      <fill>
        <patternFill>
          <bgColor auto="1"/>
        </patternFill>
      </fill>
    </dxf>
    <dxf>
      <font>
        <name val="Aptos Narrow"/>
        <family val="2"/>
        <strike val="0"/>
        <outline val="0"/>
        <shadow val="0"/>
        <color theme="1"/>
        <sz val="12"/>
        <vertAlign val="baseline"/>
        <scheme val="minor"/>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able1" displayName="Table1" ref="A1:F73" headerRowCount="1" totalsRowShown="0" headerRowDxfId="8" dataDxfId="7">
  <autoFilter ref="A1:F73">
    <filterColumn colId="0" hiddenButton="0" showButton="1">
      <filters>
        <filter val="washing, average"/>
        <filter val="washing, average, 30°"/>
        <filter val="washing, average, 40°"/>
        <filter val="washing, average, 60°"/>
        <filter val="washing, average, liquid detergent"/>
        <filter val="washing, average, powder detergent"/>
      </filters>
    </filterColumn>
  </autoFilter>
  <sortState ref="A2:F73">
    <sortCondition ref="B1:B73"/>
  </sortState>
  <tableColumns count="6">
    <tableColumn id="1" name="Activity" dataDxfId="6"/>
    <tableColumn id="5" name="Short label"/>
    <tableColumn id="3" name="Parameter" dataDxfId="5" dataCellStyle="Normal 2"/>
    <tableColumn id="4" name="Value" dataDxfId="4"/>
    <tableColumn id="6" name="Unit " dataDxfId="3"/>
    <tableColumn id="7" name="Comment" dataDxfId="2"/>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1:E36" headerRowCount="1" totalsRowShown="0">
  <autoFilter ref="A1:E36">
    <filterColumn colId="0" hiddenButton="0" showButton="1">
      <filters>
        <filter val="washing, average"/>
        <filter val="washing, average, 30°"/>
        <filter val="washing, average, 40°"/>
        <filter val="washing, average, 60°"/>
        <filter val="washing, average, liquid detergent"/>
        <filter val="washing, average, powder detergent"/>
      </filters>
    </filterColumn>
  </autoFilter>
  <sortState ref="A13:E26">
    <sortCondition ref="E1:E36"/>
  </sortState>
  <tableColumns count="5">
    <tableColumn id="1" name="Activity"/>
    <tableColumn id="2" name="Exchange" dataDxfId="9" dataCellStyle="Normal 2"/>
    <tableColumn id="3" name="Formula with parameters"/>
    <tableColumn id="4" name="Formula with values"/>
    <tableColumn id="6" name="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L39"/>
  <sheetViews>
    <sheetView tabSelected="1" zoomScale="133" workbookViewId="0">
      <selection activeCell="G16" sqref="G16"/>
    </sheetView>
  </sheetViews>
  <sheetFormatPr baseColWidth="10" defaultRowHeight="16"/>
  <sheetData>
    <row r="1">
      <c r="A1" s="54" t="inlineStr">
        <is>
          <t>skip</t>
        </is>
      </c>
    </row>
    <row r="2"/>
    <row r="3"/>
    <row r="5" ht="19" customHeight="1" s="80">
      <c r="A5" s="37" t="inlineStr">
        <is>
          <t>General information</t>
        </is>
      </c>
      <c r="D5" s="39" t="n"/>
      <c r="E5" s="39" t="n"/>
      <c r="F5" s="39" t="n"/>
      <c r="G5" s="39" t="n"/>
      <c r="H5" s="39" t="n"/>
      <c r="I5" s="39" t="n"/>
      <c r="J5" s="39" t="n"/>
      <c r="K5" s="39" t="n"/>
    </row>
    <row r="6" ht="16" customHeight="1" s="80">
      <c r="C6" s="39" t="n"/>
      <c r="D6" s="39" t="n"/>
      <c r="E6" s="39" t="n"/>
      <c r="F6" s="39" t="n"/>
      <c r="G6" s="39" t="n"/>
      <c r="H6" s="39" t="n"/>
      <c r="I6" s="39" t="n"/>
      <c r="J6" s="39" t="n"/>
      <c r="K6" s="39" t="n"/>
      <c r="L6" s="39" t="n"/>
    </row>
    <row r="7">
      <c r="B7" s="53" t="inlineStr">
        <is>
          <t xml:space="preserve">This excel workbook contains information about modelling of the datasets for dry cleaning, hand washing, machine washing, tumble drying, ironing and detergents. The datasets were originally modelled in Brightway2/Activity Browser. Results for the EF3.1 impact categories are presented as well as a comparison of results with the results of the EF3.1 washing datasets. This worksheet has a complimentary word document 'laundry_datasets_documentation', both prepared by Emelie Westall Lundqvist. 
Note! The sheets (formula calculations and parameter values) are not linked. Adjusting parameter values will not automatically update the values used in the formulas. </t>
        </is>
      </c>
    </row>
    <row r="8"/>
    <row r="9"/>
    <row r="10"/>
    <row r="11"/>
    <row r="12"/>
    <row r="13" ht="18" customHeight="1" s="80">
      <c r="A13" s="37" t="n"/>
    </row>
    <row r="14"/>
    <row r="15">
      <c r="B15" s="39" t="n"/>
      <c r="C15" s="39" t="n"/>
      <c r="D15" s="39" t="n"/>
      <c r="E15" s="39" t="n"/>
      <c r="F15" s="39" t="n"/>
      <c r="G15" s="39" t="n"/>
      <c r="H15" s="39" t="n"/>
      <c r="I15" s="39" t="n"/>
      <c r="J15" s="39" t="n"/>
      <c r="K15" s="39" t="n"/>
      <c r="L15" s="39" t="n"/>
    </row>
    <row r="16" ht="19" customHeight="1" s="80">
      <c r="A16" s="38" t="inlineStr">
        <is>
          <t>Workbook structure</t>
        </is>
      </c>
      <c r="B16" s="3" t="n"/>
      <c r="C16" s="3" t="n"/>
      <c r="D16" s="3" t="n"/>
      <c r="K16" s="39" t="n"/>
    </row>
    <row r="17" ht="17" customHeight="1" s="80"/>
    <row r="18" ht="16" customHeight="1" s="80">
      <c r="B18" s="44" t="inlineStr">
        <is>
          <t xml:space="preserve">Sheet </t>
        </is>
      </c>
      <c r="C18" s="45" t="inlineStr">
        <is>
          <t>Name</t>
        </is>
      </c>
      <c r="D18" s="46" t="n"/>
      <c r="E18" s="45" t="inlineStr">
        <is>
          <t>Detail</t>
        </is>
      </c>
    </row>
    <row r="19">
      <c r="B19" s="40" t="n">
        <v>1</v>
      </c>
      <c r="C19" s="42" t="inlineStr">
        <is>
          <t>Parameter values</t>
        </is>
      </c>
      <c r="D19" s="42" t="n"/>
      <c r="E19" s="42" t="inlineStr">
        <is>
          <t>Life Cycle Inventory data, parameter values, categorized by laundry activity</t>
        </is>
      </c>
      <c r="G19" s="41" t="n"/>
      <c r="H19" s="41" t="n"/>
      <c r="I19" s="41" t="n"/>
      <c r="J19" s="41" t="n"/>
    </row>
    <row r="20" ht="16" customHeight="1" s="80">
      <c r="B20" s="40" t="n">
        <v>2</v>
      </c>
      <c r="C20" s="42" t="inlineStr">
        <is>
          <t>Formula calculations</t>
        </is>
      </c>
      <c r="D20" s="42" t="n"/>
      <c r="E20" s="42" t="inlineStr">
        <is>
          <t>Life Cycle Inventory data, formula calculations, categorized by laundry activity</t>
        </is>
      </c>
    </row>
    <row r="21">
      <c r="B21" s="40" t="n">
        <v>3</v>
      </c>
      <c r="C21" s="42" t="inlineStr">
        <is>
          <t>Brightway imports</t>
        </is>
      </c>
      <c r="D21" s="42" t="n"/>
      <c r="E21" s="42" t="inlineStr">
        <is>
          <t>Dataset that describes single processes or activities and their environmental interactions, including what they consume, produce, and emit per unit of output. It lists the main product, all inputs (technosphere), and environmental flows (biosphere), plus relevant metadata like location, unit, and assumptions.</t>
        </is>
      </c>
    </row>
    <row r="22">
      <c r="B22" s="40" t="n">
        <v>4</v>
      </c>
      <c r="C22" s="42" t="inlineStr">
        <is>
          <t>EF3.1 Results</t>
        </is>
      </c>
      <c r="E22" s="42" t="inlineStr">
        <is>
          <t>LCA results for EF3.1 impact categories, run in Activity Browser</t>
        </is>
      </c>
    </row>
    <row r="23">
      <c r="B23" s="40" t="n">
        <v>5</v>
      </c>
      <c r="C23" s="42" t="inlineStr">
        <is>
          <t>Climate change comparison</t>
        </is>
      </c>
      <c r="E23" s="42" t="inlineStr">
        <is>
          <t>Comparison of results for climate change for these datasets with EF3.1s washing datasets. Includes a small explanation on why there may be difference.</t>
        </is>
      </c>
    </row>
    <row r="24" ht="16" customHeight="1" s="80"/>
    <row r="25" ht="16" customHeight="1" s="80"/>
    <row r="26" ht="16" customHeight="1" s="80">
      <c r="K26" s="41" t="n"/>
    </row>
    <row r="29" ht="62" customHeight="1" s="80"/>
    <row r="32">
      <c r="B32" s="40" t="n"/>
      <c r="C32" s="42" t="n"/>
      <c r="E32" s="42" t="n"/>
    </row>
    <row r="33">
      <c r="B33" s="40" t="n"/>
      <c r="C33" s="42" t="n"/>
      <c r="E33" s="42" t="n"/>
    </row>
    <row r="34">
      <c r="B34" s="40" t="n"/>
      <c r="C34" s="42" t="n"/>
      <c r="E34" s="42" t="n"/>
    </row>
    <row r="35">
      <c r="B35" s="40" t="n"/>
      <c r="C35" s="42" t="n"/>
      <c r="E35" s="42" t="n"/>
    </row>
    <row r="36">
      <c r="B36" s="40" t="n"/>
      <c r="C36" s="43" t="n"/>
      <c r="E36" s="42" t="n"/>
    </row>
    <row r="37">
      <c r="B37" s="40" t="n"/>
      <c r="C37" s="42" t="n"/>
      <c r="E37" s="42" t="n"/>
    </row>
    <row r="38">
      <c r="B38" s="40" t="n"/>
      <c r="C38" s="42" t="n"/>
      <c r="E38" s="42" t="n"/>
    </row>
    <row r="39">
      <c r="B39" s="40" t="n"/>
      <c r="C39" s="42" t="n"/>
      <c r="D39" s="42" t="n"/>
    </row>
  </sheetData>
  <mergeCells count="2">
    <mergeCell ref="B7:L14"/>
    <mergeCell ref="A1:D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73"/>
  <sheetViews>
    <sheetView zoomScale="75" workbookViewId="0">
      <selection activeCell="F80" sqref="F80"/>
    </sheetView>
  </sheetViews>
  <sheetFormatPr baseColWidth="10" defaultRowHeight="16"/>
  <cols>
    <col width="31.6640625" bestFit="1" customWidth="1" style="80" min="1" max="1"/>
    <col width="14" bestFit="1" customWidth="1" style="80" min="2" max="2"/>
    <col width="23.6640625" bestFit="1" customWidth="1" style="80" min="3" max="3"/>
    <col width="9.5" bestFit="1" customWidth="1" style="80" min="4" max="4"/>
    <col width="19" bestFit="1" customWidth="1" style="80" min="5" max="5"/>
    <col width="128.33203125" customWidth="1" style="11" min="6" max="6"/>
  </cols>
  <sheetData>
    <row r="1" ht="17" customHeight="1" s="80">
      <c r="A1" t="inlineStr">
        <is>
          <t>skip</t>
        </is>
      </c>
      <c r="B1" t="inlineStr">
        <is>
          <t>Short label</t>
        </is>
      </c>
      <c r="C1" t="inlineStr">
        <is>
          <t>Parameter</t>
        </is>
      </c>
      <c r="D1" t="inlineStr">
        <is>
          <t>Value</t>
        </is>
      </c>
      <c r="E1" t="inlineStr">
        <is>
          <t xml:space="preserve">Unit </t>
        </is>
      </c>
      <c r="F1" s="11" t="inlineStr">
        <is>
          <t>Comment</t>
        </is>
      </c>
    </row>
    <row r="2" hidden="1" ht="17" customHeight="1" s="80">
      <c r="A2" t="inlineStr">
        <is>
          <t>determining variable</t>
        </is>
      </c>
      <c r="B2" t="inlineStr">
        <is>
          <t>0A</t>
        </is>
      </c>
      <c r="C2" s="9" t="inlineStr">
        <is>
          <t>garment weight</t>
        </is>
      </c>
      <c r="D2" t="n">
        <v>1</v>
      </c>
      <c r="E2" t="inlineStr">
        <is>
          <t xml:space="preserve">kg </t>
        </is>
      </c>
      <c r="F2" s="11" t="inlineStr">
        <is>
          <t>Value set so that formulas are expressed per kilogram of garment.</t>
        </is>
      </c>
    </row>
    <row r="3" hidden="1" ht="17" customHeight="1" s="80">
      <c r="A3" t="inlineStr">
        <is>
          <t>washing, dry cleaning</t>
        </is>
      </c>
      <c r="B3" t="inlineStr">
        <is>
          <t>1A</t>
        </is>
      </c>
      <c r="C3" s="9" t="inlineStr">
        <is>
          <t>PERC amount</t>
        </is>
      </c>
      <c r="D3" t="n">
        <v>0.0307</v>
      </c>
      <c r="E3" t="inlineStr">
        <is>
          <t>kg PERC / kg garment</t>
        </is>
      </c>
      <c r="F3" s="11" t="inlineStr">
        <is>
          <t>Value is an average of PERC usage reported by Keoleian et al. (1997).</t>
        </is>
      </c>
    </row>
    <row r="4" hidden="1" ht="17" customHeight="1" s="80">
      <c r="A4" t="inlineStr">
        <is>
          <t>washing, dry cleaning</t>
        </is>
      </c>
      <c r="B4" t="inlineStr">
        <is>
          <t>1B</t>
        </is>
      </c>
      <c r="C4" s="9" t="inlineStr">
        <is>
          <t>electricity use</t>
        </is>
      </c>
      <c r="D4" t="n">
        <v>0.586</v>
      </c>
      <c r="E4" t="inlineStr">
        <is>
          <t>kWh / kg garment</t>
        </is>
      </c>
      <c r="F4" s="11" t="inlineStr">
        <is>
          <t>Value adopted from Laitala, Klepp and Henry (2018).</t>
        </is>
      </c>
    </row>
    <row r="5" hidden="1" ht="34" customHeight="1" s="80">
      <c r="A5" t="inlineStr">
        <is>
          <t>washing, dry cleaning</t>
        </is>
      </c>
      <c r="B5" t="inlineStr">
        <is>
          <t>1C</t>
        </is>
      </c>
      <c r="C5" s="9" t="inlineStr">
        <is>
          <t xml:space="preserve">hazardous waste </t>
        </is>
      </c>
      <c r="D5" t="n">
        <v>100</v>
      </c>
      <c r="E5" t="inlineStr">
        <is>
          <t>%</t>
        </is>
      </c>
      <c r="F5" s="11" t="inlineStr">
        <is>
          <t>Value representing the percentage of PERC becoming hazardous waste. It is assumed that the PERC is only used once and then discarded as hazardous waste (Troynikov et al., 2016).</t>
        </is>
      </c>
    </row>
    <row r="6" hidden="1" ht="17" customHeight="1" s="80">
      <c r="A6" t="inlineStr">
        <is>
          <t>hand washing</t>
        </is>
      </c>
      <c r="B6" t="inlineStr">
        <is>
          <t>2A</t>
        </is>
      </c>
      <c r="C6" s="9" t="inlineStr">
        <is>
          <t xml:space="preserve">electricity use </t>
        </is>
      </c>
      <c r="D6" t="n">
        <v>0.165</v>
      </c>
      <c r="E6" t="inlineStr">
        <is>
          <t>kWh / kg garment</t>
        </is>
      </c>
      <c r="F6" s="11" t="inlineStr">
        <is>
          <t xml:space="preserve">Value for german consumers based on Laitala et al. (2020). </t>
        </is>
      </c>
    </row>
    <row r="7" hidden="1" ht="17" customHeight="1" s="80">
      <c r="A7" t="inlineStr">
        <is>
          <t>hand washing</t>
        </is>
      </c>
      <c r="B7" t="inlineStr">
        <is>
          <t>2B</t>
        </is>
      </c>
      <c r="C7" s="9" t="inlineStr">
        <is>
          <t xml:space="preserve">water use </t>
        </is>
      </c>
      <c r="D7" t="n">
        <v>7.1</v>
      </c>
      <c r="E7" t="inlineStr">
        <is>
          <t>L /  kg garment</t>
        </is>
      </c>
      <c r="F7" s="11" t="inlineStr">
        <is>
          <t xml:space="preserve">Value for german consumers based on Laitala et al. (2020). </t>
        </is>
      </c>
    </row>
    <row r="8" hidden="1" ht="34" customHeight="1" s="80">
      <c r="A8" t="inlineStr">
        <is>
          <t>hand washing</t>
        </is>
      </c>
      <c r="B8" t="inlineStr">
        <is>
          <t>2C</t>
        </is>
      </c>
      <c r="C8" s="9" t="inlineStr">
        <is>
          <t>remaining moisture</t>
        </is>
      </c>
      <c r="D8" t="n">
        <v>50</v>
      </c>
      <c r="E8" t="inlineStr">
        <is>
          <t>%</t>
        </is>
      </c>
      <c r="F8" s="11" t="inlineStr">
        <is>
          <t>Assuming that 50% of moisture remains in the clothes after the wash (value chosen to be a bit higher than the values from washing machine) and under the assumption that value refers to the weight of the clothes and not the water intake.</t>
        </is>
      </c>
    </row>
    <row r="9" hidden="1" ht="34" customHeight="1" s="80">
      <c r="A9" t="inlineStr">
        <is>
          <t>hand washing</t>
        </is>
      </c>
      <c r="B9" t="inlineStr">
        <is>
          <t>2D</t>
        </is>
      </c>
      <c r="C9" s="9" t="inlineStr">
        <is>
          <t xml:space="preserve">liquid detergent use </t>
        </is>
      </c>
      <c r="D9" t="n">
        <v>0.0169</v>
      </c>
      <c r="E9" t="inlineStr">
        <is>
          <t>kg / kg garment</t>
        </is>
      </c>
      <c r="F9" s="11" t="inlineStr">
        <is>
          <t>Recommended dosage of liquid detergent for medium-soiled garments in water hardness &lt;7.3–14 °dH. Values are based on Kruschwitz et al. (2014) and refers to machine washing conditions, applied here for hand washing.</t>
        </is>
      </c>
    </row>
    <row r="10" hidden="1" ht="34" customHeight="1" s="80">
      <c r="A10" t="inlineStr">
        <is>
          <t>hand washing</t>
        </is>
      </c>
      <c r="B10" t="inlineStr">
        <is>
          <t>2E</t>
        </is>
      </c>
      <c r="C10" s="9" t="inlineStr">
        <is>
          <t xml:space="preserve">powder detergent use </t>
        </is>
      </c>
      <c r="D10" t="n">
        <v>0.0196</v>
      </c>
      <c r="E10" t="inlineStr">
        <is>
          <t>kg / kg garment</t>
        </is>
      </c>
      <c r="F10" s="11" t="inlineStr">
        <is>
          <t>Recommended dosage of powder detergent for medium-soiled garments with water hardness 7.3-14 °dH. Value based on Kruschwitz et al. (2014) and refers to machine washing conditions, applied here for hand washing.</t>
        </is>
      </c>
    </row>
    <row r="11" ht="17" customHeight="1" s="80">
      <c r="A11" t="inlineStr">
        <is>
          <t>washing, average</t>
        </is>
      </c>
      <c r="B11" t="inlineStr">
        <is>
          <t>3A</t>
        </is>
      </c>
      <c r="C11" s="9" t="inlineStr">
        <is>
          <t xml:space="preserve">lifetime </t>
        </is>
      </c>
      <c r="D11" t="n">
        <v>10</v>
      </c>
      <c r="E11" t="inlineStr">
        <is>
          <t>y</t>
        </is>
      </c>
      <c r="F11" s="11" t="inlineStr">
        <is>
          <t>Value is from the documentation of the dataset “Market for washing machine” {Glo} from Ecoinvent.</t>
        </is>
      </c>
    </row>
    <row r="12" ht="17" customHeight="1" s="80">
      <c r="A12" t="inlineStr">
        <is>
          <t>washing, average</t>
        </is>
      </c>
      <c r="B12" t="inlineStr">
        <is>
          <t>3B</t>
        </is>
      </c>
      <c r="C12" s="9" t="inlineStr">
        <is>
          <t xml:space="preserve">annual use </t>
        </is>
      </c>
      <c r="D12" t="n">
        <v>220</v>
      </c>
      <c r="E12" t="inlineStr">
        <is>
          <t>programs/y</t>
        </is>
      </c>
      <c r="F12" s="11" t="inlineStr">
        <is>
          <t>Value adopted from AEG Washing Machine User Manual where it is used to calculate average electricity use per year.</t>
        </is>
      </c>
    </row>
    <row r="13" ht="51" customHeight="1" s="80">
      <c r="A13" t="inlineStr">
        <is>
          <t>washing, average</t>
        </is>
      </c>
      <c r="B13" t="inlineStr">
        <is>
          <t>3C</t>
        </is>
      </c>
      <c r="C13" s="9" t="inlineStr">
        <is>
          <t>standard duration</t>
        </is>
      </c>
      <c r="D13" t="n">
        <v>195</v>
      </c>
      <c r="E13" t="inlineStr">
        <is>
          <t>min/program</t>
        </is>
      </c>
      <c r="F13" s="11" t="inlineStr">
        <is>
          <t xml:space="preserve">The average wash duration was calculated by multiplying the duration of each program (cotton, synthetic, delicate, wool/silk) from the AEG Washing Machine User Manual by the number of times that program was selected (Kruschwitz et al., 2014). For the program selections ‘easy care’ and ‘mix,’ the synthetic program duration was used. </t>
        </is>
      </c>
    </row>
    <row r="14" ht="34" customHeight="1" s="80">
      <c r="A14" t="inlineStr">
        <is>
          <t>washing, average</t>
        </is>
      </c>
      <c r="B14" t="inlineStr">
        <is>
          <t>3D</t>
        </is>
      </c>
      <c r="C14" s="9" t="inlineStr">
        <is>
          <t>passive electricity use</t>
        </is>
      </c>
      <c r="D14" t="n">
        <v>0.3</v>
      </c>
      <c r="E14" t="inlineStr">
        <is>
          <t>W</t>
        </is>
      </c>
      <c r="F14" s="11" t="inlineStr">
        <is>
          <t>It is assumed that the washing machine is connected to the electricity at all times and the passive electricity use is adopted from the AEG Washing Machine User Manual.</t>
        </is>
      </c>
    </row>
    <row r="15" ht="17" customHeight="1" s="80">
      <c r="A15" t="inlineStr">
        <is>
          <t>washing, average</t>
        </is>
      </c>
      <c r="B15" t="inlineStr">
        <is>
          <t>3E</t>
        </is>
      </c>
      <c r="C15" s="9" t="inlineStr">
        <is>
          <t>standard load</t>
        </is>
      </c>
      <c r="D15" t="n">
        <v>5.92</v>
      </c>
      <c r="E15" t="inlineStr">
        <is>
          <t>kg/program</t>
        </is>
      </c>
      <c r="F15" s="11" t="inlineStr">
        <is>
          <t>Value is based on the average load factor of 0.74 from Kruschwitz et al. (2014). Calculated as: 0.74*8 kg = 5.92  kg</t>
        </is>
      </c>
    </row>
    <row r="16" ht="17" customHeight="1" s="80">
      <c r="A16" t="inlineStr">
        <is>
          <t>washing, average, 30°</t>
        </is>
      </c>
      <c r="B16" t="inlineStr">
        <is>
          <t>3F</t>
        </is>
      </c>
      <c r="C16" s="9" t="inlineStr">
        <is>
          <t>water use specific</t>
        </is>
      </c>
      <c r="D16" t="n">
        <v>60</v>
      </c>
      <c r="E16" t="inlineStr">
        <is>
          <t>L / program</t>
        </is>
      </c>
      <c r="F16" s="11" t="inlineStr">
        <is>
          <t>Value adopted from AEG Washing Machine User Manual.</t>
        </is>
      </c>
    </row>
    <row r="17" ht="17" customHeight="1" s="80">
      <c r="A17" t="inlineStr">
        <is>
          <t>washing, average, 40°</t>
        </is>
      </c>
      <c r="B17" t="inlineStr">
        <is>
          <t>3F</t>
        </is>
      </c>
      <c r="C17" s="9" t="inlineStr">
        <is>
          <t>water use specific</t>
        </is>
      </c>
      <c r="D17" t="n">
        <v>60</v>
      </c>
      <c r="E17" t="inlineStr">
        <is>
          <t>L / program</t>
        </is>
      </c>
      <c r="F17" s="11" t="inlineStr">
        <is>
          <t>Value adopted from AEG Washing Machine User Manual.</t>
        </is>
      </c>
    </row>
    <row r="18" ht="17" customHeight="1" s="80">
      <c r="A18" t="inlineStr">
        <is>
          <t>washing, average, 60°</t>
        </is>
      </c>
      <c r="B18" t="inlineStr">
        <is>
          <t>3F</t>
        </is>
      </c>
      <c r="C18" s="9" t="inlineStr">
        <is>
          <t>water use specific</t>
        </is>
      </c>
      <c r="D18" t="n">
        <v>80</v>
      </c>
      <c r="E18" t="inlineStr">
        <is>
          <t>L / program</t>
        </is>
      </c>
      <c r="F18" s="11" t="inlineStr">
        <is>
          <t>Value adopted from AEG Washing Machine User Manual.</t>
        </is>
      </c>
    </row>
    <row r="19" ht="34" customHeight="1" s="80">
      <c r="A19" t="inlineStr">
        <is>
          <t>washing, average, 30°</t>
        </is>
      </c>
      <c r="B19" t="inlineStr">
        <is>
          <t>3G</t>
        </is>
      </c>
      <c r="C19" s="9" t="inlineStr">
        <is>
          <t>load specific</t>
        </is>
      </c>
      <c r="D19" t="n">
        <v>1.605</v>
      </c>
      <c r="E19" t="inlineStr">
        <is>
          <t>kg</t>
        </is>
      </c>
      <c r="F19" s="11" t="inlineStr">
        <is>
          <t>Calculated by multiplying the program specific average load factor reported by Kruschwitz et al. (2014) with the recommended load in the AEG washing machine manual. Calculated as: 1.07*1.5=1.605 kg</t>
        </is>
      </c>
    </row>
    <row r="20" ht="34" customHeight="1" s="80">
      <c r="A20" t="inlineStr">
        <is>
          <t>washing, average, 40°</t>
        </is>
      </c>
      <c r="B20" t="inlineStr">
        <is>
          <t>3G</t>
        </is>
      </c>
      <c r="C20" s="9" t="inlineStr">
        <is>
          <t>load specific</t>
        </is>
      </c>
      <c r="D20" t="n">
        <v>2.97</v>
      </c>
      <c r="E20" t="inlineStr">
        <is>
          <t>kg</t>
        </is>
      </c>
      <c r="F20" s="11" t="inlineStr">
        <is>
          <t>Calculated by multiplying the program specific average load factor reported by Kruschwitz et al. (2014) with the recommended load in the AEG washing machine manual. Calculated as: 0.99*3=2.97 kg</t>
        </is>
      </c>
    </row>
    <row r="21" ht="34" customHeight="1" s="80">
      <c r="A21" s="11" t="inlineStr">
        <is>
          <t>washing, average, 60°</t>
        </is>
      </c>
      <c r="B21" s="11" t="inlineStr">
        <is>
          <t>3G</t>
        </is>
      </c>
      <c r="C21" s="9" t="inlineStr">
        <is>
          <t>load specific</t>
        </is>
      </c>
      <c r="D21" t="n">
        <v>5.44</v>
      </c>
      <c r="E21" t="inlineStr">
        <is>
          <t>kg</t>
        </is>
      </c>
      <c r="F21" s="11" t="inlineStr">
        <is>
          <t>Calculated by multiplying the program specific average load factor reported by Kruschwitz et al. (2014) with the recommended load in the AEG washing machine manual. Calculated as: 0.68*8=5.44 kg</t>
        </is>
      </c>
    </row>
    <row r="22" ht="34" customHeight="1" s="80">
      <c r="A22" t="inlineStr">
        <is>
          <t>washing, average, 30°</t>
        </is>
      </c>
      <c r="B22" t="inlineStr">
        <is>
          <t>3H</t>
        </is>
      </c>
      <c r="C22" s="9" t="inlineStr">
        <is>
          <t>remaining moisture</t>
        </is>
      </c>
      <c r="D22" t="n">
        <v>30</v>
      </c>
      <c r="E22" t="inlineStr">
        <is>
          <t>%</t>
        </is>
      </c>
      <c r="F22" s="11" t="inlineStr">
        <is>
          <t>Program specific value adopted from the AEG Washing Machine User Manual and used under the assumption that the value of remaining most percentage refers to the weight of the clothes and not the water intake.</t>
        </is>
      </c>
    </row>
    <row r="23" ht="34" customHeight="1" s="80">
      <c r="A23" s="11" t="inlineStr">
        <is>
          <t>washing, average, 40°</t>
        </is>
      </c>
      <c r="B23" s="11" t="inlineStr">
        <is>
          <t>3H</t>
        </is>
      </c>
      <c r="C23" s="9" t="inlineStr">
        <is>
          <t>remaining moisture</t>
        </is>
      </c>
      <c r="D23" t="n">
        <v>35</v>
      </c>
      <c r="E23" t="inlineStr">
        <is>
          <t>%</t>
        </is>
      </c>
      <c r="F23" s="11" t="inlineStr">
        <is>
          <t>Program specific value adopted from the AEG Washing Machine User Manual and used under the assumption that the value of remaining most percentage refers to the weight of the clothes and not the water intake.</t>
        </is>
      </c>
    </row>
    <row r="24" ht="34" customHeight="1" s="80">
      <c r="A24" t="inlineStr">
        <is>
          <t xml:space="preserve">washing, average, 60° </t>
        </is>
      </c>
      <c r="B24" t="inlineStr">
        <is>
          <t>3H</t>
        </is>
      </c>
      <c r="C24" s="9" t="inlineStr">
        <is>
          <t>remaining moisture</t>
        </is>
      </c>
      <c r="D24" t="n">
        <v>44</v>
      </c>
      <c r="E24" t="inlineStr">
        <is>
          <t>%</t>
        </is>
      </c>
      <c r="F24" s="11" t="inlineStr">
        <is>
          <t>Program specific value adopted from the AEG Washing Machine User Manual and used under the assumption that the value of remaining most percentage refers to the weight of the clothes and not the water intake.</t>
        </is>
      </c>
    </row>
    <row r="25" ht="17" customHeight="1" s="80">
      <c r="A25" t="inlineStr">
        <is>
          <t>washing, average, 30°</t>
        </is>
      </c>
      <c r="B25" t="inlineStr">
        <is>
          <t>3I</t>
        </is>
      </c>
      <c r="C25" s="9" t="inlineStr">
        <is>
          <t>electricity use specific</t>
        </is>
      </c>
      <c r="D25" t="n">
        <v>0.3</v>
      </c>
      <c r="E25" t="inlineStr">
        <is>
          <t>kWh / program</t>
        </is>
      </c>
      <c r="F25" s="11" t="inlineStr">
        <is>
          <t>Program specific value adopted from the AEG Washing Machine User Manual.</t>
        </is>
      </c>
    </row>
    <row r="26" ht="17" customHeight="1" s="80">
      <c r="A26" t="inlineStr">
        <is>
          <t>washing, average, 40°</t>
        </is>
      </c>
      <c r="B26" t="inlineStr">
        <is>
          <t>3I</t>
        </is>
      </c>
      <c r="C26" s="9" t="inlineStr">
        <is>
          <t>electricity use specific</t>
        </is>
      </c>
      <c r="D26" t="n">
        <v>0.8</v>
      </c>
      <c r="E26" t="inlineStr">
        <is>
          <t>kWh / program</t>
        </is>
      </c>
      <c r="F26" s="11" t="inlineStr">
        <is>
          <t>Program specific value adopted from the AEG Washing Machine User Manual.</t>
        </is>
      </c>
    </row>
    <row r="27" ht="17" customHeight="1" s="80">
      <c r="A27" t="inlineStr">
        <is>
          <t>washing, average, 60°</t>
        </is>
      </c>
      <c r="B27" t="inlineStr">
        <is>
          <t>3I</t>
        </is>
      </c>
      <c r="C27" s="9" t="inlineStr">
        <is>
          <t>electricity use specific</t>
        </is>
      </c>
      <c r="D27" t="n">
        <v>1.3</v>
      </c>
      <c r="E27" t="inlineStr">
        <is>
          <t>kWh / program</t>
        </is>
      </c>
      <c r="F27" s="11" t="inlineStr">
        <is>
          <t>Program specific value adopted from the AEG Washing Machine User Manual.</t>
        </is>
      </c>
    </row>
    <row r="28" ht="17" customHeight="1" s="80">
      <c r="A28" t="inlineStr">
        <is>
          <t>washing, average, 30°</t>
        </is>
      </c>
      <c r="B28" t="inlineStr">
        <is>
          <t>3J</t>
        </is>
      </c>
      <c r="C28" s="9" t="inlineStr">
        <is>
          <t>duration specific</t>
        </is>
      </c>
      <c r="D28">
        <f>75/60</f>
        <v/>
      </c>
      <c r="E28" t="inlineStr">
        <is>
          <t xml:space="preserve">h / program </t>
        </is>
      </c>
      <c r="F28" s="11" t="inlineStr">
        <is>
          <t>Program specific value adopted from the AEG Washing Machine User Manual.</t>
        </is>
      </c>
    </row>
    <row r="29" ht="17" customHeight="1" s="80">
      <c r="A29" t="inlineStr">
        <is>
          <t>washing, average, 40°</t>
        </is>
      </c>
      <c r="B29" t="inlineStr">
        <is>
          <t>3J</t>
        </is>
      </c>
      <c r="C29" s="9" t="inlineStr">
        <is>
          <t>duration specific</t>
        </is>
      </c>
      <c r="D29" s="48">
        <f>140/60</f>
        <v/>
      </c>
      <c r="E29" t="inlineStr">
        <is>
          <t xml:space="preserve">h / program </t>
        </is>
      </c>
      <c r="F29" s="11" t="inlineStr">
        <is>
          <t>Program specific value adopted from the AEG Washing Machine User Manual.</t>
        </is>
      </c>
    </row>
    <row r="30" ht="17" customHeight="1" s="80">
      <c r="A30" t="inlineStr">
        <is>
          <t>washing, average, 60°</t>
        </is>
      </c>
      <c r="B30" t="inlineStr">
        <is>
          <t>3J</t>
        </is>
      </c>
      <c r="C30" s="9" t="inlineStr">
        <is>
          <t>duration specific</t>
        </is>
      </c>
      <c r="D30" s="48">
        <f>220/60</f>
        <v/>
      </c>
      <c r="E30" t="inlineStr">
        <is>
          <t xml:space="preserve">h / program </t>
        </is>
      </c>
      <c r="F30" s="11" t="inlineStr">
        <is>
          <t>Program specific value adopted from the AEG Washing Machine User Manual.</t>
        </is>
      </c>
    </row>
    <row r="31" ht="17" customHeight="1" s="80">
      <c r="A31" t="inlineStr">
        <is>
          <t>washing, average, liquid detergent</t>
        </is>
      </c>
      <c r="B31" t="inlineStr">
        <is>
          <t>3K</t>
        </is>
      </c>
      <c r="C31" s="9" t="inlineStr">
        <is>
          <t xml:space="preserve">liquid detergent use </t>
        </is>
      </c>
      <c r="D31" t="n">
        <v>0.0169</v>
      </c>
      <c r="E31" t="inlineStr">
        <is>
          <t>kg / kg garment</t>
        </is>
      </c>
      <c r="F31" s="11" t="inlineStr">
        <is>
          <t>Recommended dosage of liquid detergent for medium-soiled load in water hardness &lt;7.3–14 °dH. Value based on Kruschwitz et al. (2014).</t>
        </is>
      </c>
    </row>
    <row r="32" ht="17" customHeight="1" s="80">
      <c r="A32" t="inlineStr">
        <is>
          <t>washing, average, powder detergent</t>
        </is>
      </c>
      <c r="B32" t="inlineStr">
        <is>
          <t>3L</t>
        </is>
      </c>
      <c r="C32" s="9" t="inlineStr">
        <is>
          <t xml:space="preserve">powder detergent use </t>
        </is>
      </c>
      <c r="D32" t="n">
        <v>0.0196</v>
      </c>
      <c r="E32" t="inlineStr">
        <is>
          <t>kg / kg garment</t>
        </is>
      </c>
      <c r="F32" s="11" t="inlineStr">
        <is>
          <t>Recommended dosage of powder detergent for medium-soiled load in water hardness 7.3–14 °dH. Value based on Kruschwitz et al. (2014).</t>
        </is>
      </c>
    </row>
    <row r="33" hidden="1" ht="17" customHeight="1" s="80">
      <c r="A33" t="inlineStr">
        <is>
          <t>tumble drying</t>
        </is>
      </c>
      <c r="B33" t="inlineStr">
        <is>
          <t>4A</t>
        </is>
      </c>
      <c r="C33" s="8" t="inlineStr">
        <is>
          <t>lifetime</t>
        </is>
      </c>
      <c r="D33" t="n">
        <v>12.5</v>
      </c>
      <c r="E33" t="inlineStr">
        <is>
          <t>y</t>
        </is>
      </c>
      <c r="F33" s="11" t="inlineStr">
        <is>
          <t xml:space="preserve">Value is from the documentation of the dataset “dryer production” {Glo} from Ecoinvent. </t>
        </is>
      </c>
    </row>
    <row r="34" hidden="1" ht="17" customHeight="1" s="80">
      <c r="A34" s="11" t="inlineStr">
        <is>
          <t>tumble drying</t>
        </is>
      </c>
      <c r="B34" s="11" t="inlineStr">
        <is>
          <t>4B</t>
        </is>
      </c>
      <c r="C34" s="9" t="inlineStr">
        <is>
          <t xml:space="preserve">annual use </t>
        </is>
      </c>
      <c r="D34" t="n">
        <v>160</v>
      </c>
      <c r="E34" t="inlineStr">
        <is>
          <t>programs/y</t>
        </is>
      </c>
      <c r="F34" s="11" t="inlineStr">
        <is>
          <t xml:space="preserve">Value adopted from AEG Dryer Manual which uses it to calculate to calculate average electricity use per year. </t>
        </is>
      </c>
    </row>
    <row r="35" hidden="1" ht="17" customHeight="1" s="80">
      <c r="A35" s="11" t="inlineStr">
        <is>
          <t>tumble drying</t>
        </is>
      </c>
      <c r="B35" s="11" t="inlineStr">
        <is>
          <t>4C</t>
        </is>
      </c>
      <c r="C35" s="9" t="inlineStr">
        <is>
          <t>standard duration</t>
        </is>
      </c>
      <c r="D35" t="n">
        <v>108.9</v>
      </c>
      <c r="E35" t="inlineStr">
        <is>
          <t>min/program</t>
        </is>
      </c>
      <c r="F35" s="11" t="inlineStr">
        <is>
          <t xml:space="preserve">Value is from Laitala et al (2020) and represents the average tumble drying time in Germany (diary data). </t>
        </is>
      </c>
    </row>
    <row r="36" hidden="1" ht="17" customHeight="1" s="80">
      <c r="A36" t="inlineStr">
        <is>
          <t>tumble drying</t>
        </is>
      </c>
      <c r="B36" t="inlineStr">
        <is>
          <t>4D</t>
        </is>
      </c>
      <c r="C36" s="9" t="inlineStr">
        <is>
          <t>passive electricity use</t>
        </is>
      </c>
      <c r="D36" t="n">
        <v>0.13</v>
      </c>
      <c r="E36" t="inlineStr">
        <is>
          <t>W</t>
        </is>
      </c>
      <c r="F36" s="11" t="inlineStr">
        <is>
          <t>It is assumed that the dryer is connected to the electricity at all times and the passive electricity use is adopted from the AEG Dryer Manual.</t>
        </is>
      </c>
    </row>
    <row r="37" hidden="1" ht="34" customHeight="1" s="80">
      <c r="A37" t="inlineStr">
        <is>
          <t>tumble drying</t>
        </is>
      </c>
      <c r="B37" t="inlineStr">
        <is>
          <t>4E</t>
        </is>
      </c>
      <c r="C37" s="9" t="inlineStr">
        <is>
          <t>standard load</t>
        </is>
      </c>
      <c r="D37" t="n">
        <v>5.92</v>
      </c>
      <c r="E37" t="inlineStr">
        <is>
          <t>kg/program</t>
        </is>
      </c>
      <c r="F37" s="11" t="inlineStr">
        <is>
          <t>Assuming that most people tend to underload dryers (as is true for washing machines), the value is based on the average load factor of 0.74 from Kruschwitz et al. (2014). Calculated as: 0.74*8 kg = 5.92  kg</t>
        </is>
      </c>
    </row>
    <row r="38" hidden="1" ht="17" customHeight="1" s="80">
      <c r="A38" t="inlineStr">
        <is>
          <t>tumble drying, cotton, closet dry</t>
        </is>
      </c>
      <c r="B38" t="inlineStr">
        <is>
          <t>4F</t>
        </is>
      </c>
      <c r="C38" s="9" t="inlineStr">
        <is>
          <t>electricity use specific</t>
        </is>
      </c>
      <c r="D38" t="n">
        <v>1.99</v>
      </c>
      <c r="E38" t="inlineStr">
        <is>
          <t>kWh / program</t>
        </is>
      </c>
      <c r="F38" s="11" t="inlineStr">
        <is>
          <t>Data from AEG Dryer Manual for 1000 spins program to achieve closet level of dryness for cotton.</t>
        </is>
      </c>
    </row>
    <row r="39" hidden="1" ht="17" customHeight="1" s="80">
      <c r="A39" t="inlineStr">
        <is>
          <t>tumble drying, cotton, iron dry</t>
        </is>
      </c>
      <c r="B39" t="inlineStr">
        <is>
          <t>4F</t>
        </is>
      </c>
      <c r="C39" s="9" t="inlineStr">
        <is>
          <t>electricity use specific</t>
        </is>
      </c>
      <c r="D39" s="10" t="n">
        <v>1.51</v>
      </c>
      <c r="E39" t="inlineStr">
        <is>
          <t>kWh / program</t>
        </is>
      </c>
      <c r="F39" s="11" t="inlineStr">
        <is>
          <t>Data from AEG Dryer Manual for 1000 spins program to achieve iron level of dryness for cotton.</t>
        </is>
      </c>
    </row>
    <row r="40" hidden="1" ht="17" customHeight="1" s="80">
      <c r="A40" s="11" t="inlineStr">
        <is>
          <t>tumble drying, synthetics, closet dry</t>
        </is>
      </c>
      <c r="B40" s="11" t="inlineStr">
        <is>
          <t>4F</t>
        </is>
      </c>
      <c r="C40" s="9" t="inlineStr">
        <is>
          <t>electricity use specific</t>
        </is>
      </c>
      <c r="D40" t="n">
        <v>0.75</v>
      </c>
      <c r="E40" t="inlineStr">
        <is>
          <t>kWh / program</t>
        </is>
      </c>
      <c r="F40" s="11" t="inlineStr">
        <is>
          <t>Data from AEG Dryer Manual for 800 spins program to achieve closet level of dryness for synthetics.</t>
        </is>
      </c>
    </row>
    <row r="41" hidden="1" ht="17" customHeight="1" s="80">
      <c r="A41" t="inlineStr">
        <is>
          <t>tumble drying, cotton, closet dry</t>
        </is>
      </c>
      <c r="B41" t="inlineStr">
        <is>
          <t>4G</t>
        </is>
      </c>
      <c r="C41" s="9" t="inlineStr">
        <is>
          <t>duration specific</t>
        </is>
      </c>
      <c r="D41" s="10">
        <f>154/60</f>
        <v/>
      </c>
      <c r="E41" t="inlineStr">
        <is>
          <t>h/program</t>
        </is>
      </c>
      <c r="F41" s="11" t="inlineStr">
        <is>
          <t>Data from AEG Dryer Manual for 1000 spins program to achieve closet level of dryness for cotton.</t>
        </is>
      </c>
    </row>
    <row r="42" hidden="1" ht="17" customHeight="1" s="80">
      <c r="A42" t="inlineStr">
        <is>
          <t>tumble drying, cotton, iron dry</t>
        </is>
      </c>
      <c r="B42" t="inlineStr">
        <is>
          <t>4G</t>
        </is>
      </c>
      <c r="C42" s="9" t="inlineStr">
        <is>
          <t>duration specific</t>
        </is>
      </c>
      <c r="D42" s="10">
        <f>118/60</f>
        <v/>
      </c>
      <c r="E42" t="inlineStr">
        <is>
          <t>h/program</t>
        </is>
      </c>
      <c r="F42" s="11" t="inlineStr">
        <is>
          <t>Data from AEG Dryer Manual for 1000 spins program to achieve iron level of dryness for cotton.</t>
        </is>
      </c>
    </row>
    <row r="43" hidden="1" ht="17" customHeight="1" s="80">
      <c r="A43" s="11" t="inlineStr">
        <is>
          <t>tumble drying, synthetics, closet dry</t>
        </is>
      </c>
      <c r="B43" s="11" t="inlineStr">
        <is>
          <t>4G</t>
        </is>
      </c>
      <c r="C43" s="9" t="inlineStr">
        <is>
          <t>duration specific</t>
        </is>
      </c>
      <c r="D43" s="10">
        <f>67/60</f>
        <v/>
      </c>
      <c r="E43" t="inlineStr">
        <is>
          <t>h/program</t>
        </is>
      </c>
      <c r="F43" s="11" t="inlineStr">
        <is>
          <t>Data from AEG Dryer Manual for 800 spins program to achieve closet level of dryness for synthetics.</t>
        </is>
      </c>
    </row>
    <row r="44" hidden="1" ht="17" customHeight="1" s="80">
      <c r="A44" t="inlineStr">
        <is>
          <t>tumble drying, cotton</t>
        </is>
      </c>
      <c r="B44" t="inlineStr">
        <is>
          <t>4H</t>
        </is>
      </c>
      <c r="C44" s="9" t="inlineStr">
        <is>
          <t>load specific</t>
        </is>
      </c>
      <c r="D44" t="n">
        <v>8</v>
      </c>
      <c r="E44" t="inlineStr">
        <is>
          <t>kg/program</t>
        </is>
      </c>
      <c r="F44" s="11" t="inlineStr">
        <is>
          <t>Value is set to the program recommended one from AEG Dryer Manual.</t>
        </is>
      </c>
    </row>
    <row r="45" hidden="1" ht="17" customHeight="1" s="80">
      <c r="A45" s="11" t="inlineStr">
        <is>
          <t>tumble drying, synthetics</t>
        </is>
      </c>
      <c r="B45" s="11" t="inlineStr">
        <is>
          <t>4H</t>
        </is>
      </c>
      <c r="C45" s="9" t="inlineStr">
        <is>
          <t>load specific</t>
        </is>
      </c>
      <c r="D45" t="n">
        <v>3.5</v>
      </c>
      <c r="E45" t="inlineStr">
        <is>
          <t>kg/program</t>
        </is>
      </c>
      <c r="F45" s="11" t="inlineStr">
        <is>
          <t>Value is set to the program recommended one from AEG Dryer Manual.</t>
        </is>
      </c>
    </row>
    <row r="46" hidden="1" ht="34" customHeight="1" s="80">
      <c r="A46" s="11" t="inlineStr">
        <is>
          <t>tumble drying, cotton</t>
        </is>
      </c>
      <c r="B46" s="11" t="inlineStr">
        <is>
          <t>4I</t>
        </is>
      </c>
      <c r="C46" s="9" t="inlineStr">
        <is>
          <t>remaining moisture, cotton</t>
        </is>
      </c>
      <c r="D46" t="n">
        <v>44</v>
      </c>
      <c r="E46" t="inlineStr">
        <is>
          <t>%</t>
        </is>
      </c>
      <c r="F46" s="11" t="inlineStr">
        <is>
          <t>Program specific value adopted from the AEG Washing Machine User Manual and used under the assumption that the value of remaining most percentage refers to the weight of the clothes and not the water intake.</t>
        </is>
      </c>
    </row>
    <row r="47" hidden="1" ht="34" customHeight="1" s="80">
      <c r="A47" s="11" t="inlineStr">
        <is>
          <t>tumble drying, synthetics</t>
        </is>
      </c>
      <c r="B47" s="11" t="inlineStr">
        <is>
          <t>4I</t>
        </is>
      </c>
      <c r="C47" s="9" t="inlineStr">
        <is>
          <t>remaining moisture, synthetics</t>
        </is>
      </c>
      <c r="D47" s="34" t="n">
        <v>35</v>
      </c>
      <c r="E47" s="34" t="inlineStr">
        <is>
          <t>%</t>
        </is>
      </c>
      <c r="F47" s="35" t="inlineStr">
        <is>
          <t>Program specific value adopted from the AEG Washing Machine User Manual and used under the assumption that the value of remaining most percentage refers to the weight of the clothes and not the water intake.</t>
        </is>
      </c>
    </row>
    <row r="48" hidden="1" ht="17" customHeight="1" s="80">
      <c r="A48" t="inlineStr">
        <is>
          <t xml:space="preserve">ironing, average, 1 min </t>
        </is>
      </c>
      <c r="B48" t="inlineStr">
        <is>
          <t>5A</t>
        </is>
      </c>
      <c r="C48" s="9" t="inlineStr">
        <is>
          <t>time spend</t>
        </is>
      </c>
      <c r="D48" t="n">
        <v>1</v>
      </c>
      <c r="E48" t="inlineStr">
        <is>
          <t xml:space="preserve">min </t>
        </is>
      </c>
      <c r="F48" s="11" t="inlineStr">
        <is>
          <t>Value set so that formulas are expressed per minute of ironing.</t>
        </is>
      </c>
    </row>
    <row r="49" hidden="1" ht="34" customHeight="1" s="80">
      <c r="A49" t="inlineStr">
        <is>
          <t xml:space="preserve">ironing, average, 1 min </t>
        </is>
      </c>
      <c r="B49" t="inlineStr">
        <is>
          <t>5B</t>
        </is>
      </c>
      <c r="C49" s="9" t="inlineStr">
        <is>
          <t>lifetime of electric kettle</t>
        </is>
      </c>
      <c r="D49" t="n">
        <v>4</v>
      </c>
      <c r="E49" t="inlineStr">
        <is>
          <t xml:space="preserve">y </t>
        </is>
      </c>
      <c r="F49" s="11" t="inlineStr">
        <is>
          <t>The value is taken from the Ecoinvent dataset “market for electric kettle” {GLO}. Since no data for an iron or steamer were available, an electric kettle was used as a proxy, based on the assumption that both are small household appliances designed to heat water and have comparable environmental impacts.</t>
        </is>
      </c>
    </row>
    <row r="50" hidden="1" ht="17" customHeight="1" s="80">
      <c r="A50" t="inlineStr">
        <is>
          <t xml:space="preserve">ironing, average, 1 min </t>
        </is>
      </c>
      <c r="B50" t="inlineStr">
        <is>
          <t>5C</t>
        </is>
      </c>
      <c r="C50" s="9" t="inlineStr">
        <is>
          <t>electricity use</t>
        </is>
      </c>
      <c r="D50" t="n">
        <v>0.027</v>
      </c>
      <c r="E50" t="inlineStr">
        <is>
          <t>kWh/min</t>
        </is>
      </c>
      <c r="F50" s="11" t="inlineStr">
        <is>
          <t xml:space="preserve">Value is adopted for minute of ironing from Sandin et al. (2019), assuming an average iron power of 1600 kW. </t>
        </is>
      </c>
    </row>
    <row r="51" hidden="1" ht="17" customHeight="1" s="80">
      <c r="A51" t="inlineStr">
        <is>
          <t xml:space="preserve">ironing, average, 1 min </t>
        </is>
      </c>
      <c r="B51" t="inlineStr">
        <is>
          <t>5D</t>
        </is>
      </c>
      <c r="C51" s="9" t="inlineStr">
        <is>
          <t>daily time spend on ironing</t>
        </is>
      </c>
      <c r="D51" t="n">
        <v>5.87</v>
      </c>
      <c r="E51" t="inlineStr">
        <is>
          <t>min/d</t>
        </is>
      </c>
      <c r="F51" s="11" t="inlineStr">
        <is>
          <t>Value assumed based on Eurostat (estat_tus_20age.tsv) HETUS data.</t>
        </is>
      </c>
    </row>
    <row r="52" hidden="1" s="80">
      <c r="A52" s="11" t="n"/>
      <c r="B52" s="11" t="n"/>
      <c r="C52" s="9" t="n"/>
      <c r="D52" s="31" t="n"/>
      <c r="E52" s="31" t="n"/>
      <c r="F52" s="32" t="n"/>
    </row>
    <row r="53" hidden="1" s="80">
      <c r="A53" s="30" t="n"/>
      <c r="C53" s="9" t="n"/>
      <c r="D53" s="31" t="n"/>
      <c r="E53" s="31" t="n"/>
      <c r="F53" s="32" t="n"/>
    </row>
    <row r="54" hidden="1" s="80">
      <c r="A54" s="30" t="n"/>
      <c r="C54" s="9" t="n"/>
      <c r="D54" s="31" t="n"/>
      <c r="E54" s="31" t="n"/>
      <c r="F54" s="32" t="n"/>
    </row>
    <row r="55" hidden="1" s="80">
      <c r="A55" s="33" t="n"/>
      <c r="C55" s="9" t="n"/>
    </row>
    <row r="56" hidden="1" s="80">
      <c r="A56" s="11" t="n"/>
      <c r="B56" s="11" t="n"/>
      <c r="C56" s="9" t="n"/>
    </row>
    <row r="57" hidden="1" s="80">
      <c r="C57" s="9" t="n"/>
    </row>
    <row r="58" hidden="1" s="80">
      <c r="A58" s="33" t="n"/>
      <c r="C58" s="9" t="n"/>
      <c r="D58" s="34" t="n"/>
      <c r="E58" s="34" t="n"/>
      <c r="F58" s="35" t="n"/>
    </row>
    <row r="59" hidden="1" s="80">
      <c r="A59" s="30" t="n"/>
      <c r="C59" s="9" t="n"/>
      <c r="D59" s="31" t="n"/>
      <c r="E59" s="31" t="n"/>
      <c r="F59" s="32" t="n"/>
    </row>
    <row r="60" hidden="1" s="80">
      <c r="A60" s="30" t="n"/>
      <c r="C60" s="9" t="n"/>
      <c r="D60" s="31" t="n"/>
      <c r="E60" s="31" t="n"/>
      <c r="F60" s="32" t="n"/>
    </row>
    <row r="61" hidden="1" s="80">
      <c r="A61" s="30" t="n"/>
      <c r="C61" s="9" t="n"/>
      <c r="D61" s="31" t="n"/>
      <c r="E61" s="31" t="n"/>
      <c r="F61" s="32" t="n"/>
    </row>
    <row r="62" hidden="1" s="80">
      <c r="A62" s="30" t="n"/>
      <c r="C62" s="9" t="n"/>
      <c r="D62" s="31" t="n"/>
      <c r="E62" s="31" t="n"/>
      <c r="F62" s="32" t="n"/>
    </row>
    <row r="63" hidden="1" s="80">
      <c r="A63" s="30" t="n"/>
      <c r="C63" s="9" t="n"/>
      <c r="D63" s="31" t="n"/>
      <c r="E63" s="31" t="n"/>
      <c r="F63" s="32" t="n"/>
    </row>
    <row r="64" hidden="1" s="80">
      <c r="A64" s="30" t="n"/>
      <c r="C64" s="9" t="n"/>
      <c r="D64" s="31" t="n"/>
      <c r="E64" s="31" t="n"/>
      <c r="F64" s="32" t="n"/>
    </row>
    <row r="65" hidden="1" s="80">
      <c r="A65" s="33" t="n"/>
      <c r="C65" s="9" t="n"/>
      <c r="D65" s="34" t="n"/>
      <c r="E65" s="34" t="n"/>
      <c r="F65" s="35" t="n"/>
    </row>
    <row r="66" hidden="1" s="80">
      <c r="A66" s="30" t="n"/>
      <c r="C66" s="9" t="n"/>
    </row>
    <row r="67" hidden="1" s="80">
      <c r="A67" s="30" t="n"/>
      <c r="C67" s="9" t="n"/>
    </row>
    <row r="68" hidden="1" s="80">
      <c r="A68" s="36" t="n"/>
      <c r="B68" s="11" t="n"/>
      <c r="C68" s="9" t="n"/>
    </row>
    <row r="69" hidden="1" s="80">
      <c r="A69" s="36" t="n"/>
      <c r="B69" s="11" t="n"/>
      <c r="C69" s="9" t="n"/>
    </row>
    <row r="70" hidden="1" s="80">
      <c r="A70" s="30" t="n"/>
      <c r="C70" s="9" t="n"/>
    </row>
    <row r="71" hidden="1" s="80">
      <c r="A71" s="30" t="n"/>
      <c r="C71" s="9" t="n"/>
    </row>
    <row r="72" hidden="1" s="80">
      <c r="A72" s="30" t="n"/>
      <c r="C72" s="9" t="n"/>
    </row>
    <row r="73" hidden="1" s="80">
      <c r="A73" s="33" t="n"/>
      <c r="C73" s="9" t="n"/>
      <c r="D73" s="34" t="n"/>
      <c r="E73" s="34" t="n"/>
      <c r="F73" s="35" t="n"/>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36"/>
  <sheetViews>
    <sheetView topLeftCell="B17" zoomScaleNormal="100" workbookViewId="0">
      <selection activeCell="D46" sqref="D46"/>
    </sheetView>
  </sheetViews>
  <sheetFormatPr baseColWidth="10" defaultRowHeight="16"/>
  <cols>
    <col width="35.1640625" customWidth="1" style="80" min="1" max="1"/>
    <col width="40.83203125" bestFit="1" customWidth="1" style="80" min="2" max="2"/>
    <col width="138.83203125" bestFit="1" customWidth="1" style="80" min="3" max="3"/>
    <col width="76.1640625" bestFit="1" customWidth="1" style="80" min="4" max="4"/>
    <col width="92.83203125" customWidth="1" style="80" min="5" max="5"/>
    <col width="33.6640625" customWidth="1" style="80" min="6" max="6"/>
    <col width="36.33203125" customWidth="1" style="80" min="7" max="7"/>
  </cols>
  <sheetData>
    <row r="1">
      <c r="A1" t="inlineStr">
        <is>
          <t>skip</t>
        </is>
      </c>
      <c r="B1" t="inlineStr">
        <is>
          <t>Exchange</t>
        </is>
      </c>
      <c r="C1" t="inlineStr">
        <is>
          <t>Formula with parameters</t>
        </is>
      </c>
      <c r="D1" t="inlineStr">
        <is>
          <t>Formula with values</t>
        </is>
      </c>
      <c r="E1" t="inlineStr">
        <is>
          <t>Comment</t>
        </is>
      </c>
    </row>
    <row r="2" hidden="1" s="80">
      <c r="A2" t="inlineStr">
        <is>
          <t>tumble drying, cotton</t>
        </is>
      </c>
      <c r="B2" s="8" t="inlineStr">
        <is>
          <t>market for dryer</t>
        </is>
      </c>
      <c r="C2" t="inlineStr">
        <is>
          <t>garment weight×(1/lifetime)×(1/annual use)×(1/standard load)×(1+remaining moisture/100)</t>
        </is>
      </c>
      <c r="D2" t="inlineStr">
        <is>
          <t>(1/12.5)*(1/160)*(1/5.92)*1*(1+44/100)</t>
        </is>
      </c>
      <c r="E2" t="inlineStr">
        <is>
          <t>tumble drying machine impact</t>
        </is>
      </c>
    </row>
    <row r="3" hidden="1" s="80">
      <c r="A3" s="49" t="inlineStr">
        <is>
          <t>tumble drying, synthetics</t>
        </is>
      </c>
      <c r="B3" s="8" t="inlineStr">
        <is>
          <t>market for dryer</t>
        </is>
      </c>
      <c r="C3" s="51" t="inlineStr">
        <is>
          <t>garment weight×(1/lifetime)×(1/annual use)×(1/standard load)×(1+remaining moisture/100)</t>
        </is>
      </c>
      <c r="D3" t="inlineStr">
        <is>
          <t>(1/12.5)*(1/160)*(1/5.92)*1*(1+35/100)</t>
        </is>
      </c>
      <c r="E3" t="inlineStr">
        <is>
          <t>tumble drying machine impact</t>
        </is>
      </c>
    </row>
    <row r="4" hidden="1" s="80">
      <c r="A4" t="inlineStr">
        <is>
          <t>tumble drying</t>
        </is>
      </c>
      <c r="B4" s="8" t="inlineStr">
        <is>
          <t>market group for electricity, low voltage</t>
        </is>
      </c>
      <c r="C4" s="52" t="inlineStr">
        <is>
          <t>garment weight×((passive electricity use×(lifetime×365.25×24×60-lifetime×annual use×standard duration)*(1/60)×10^(-3))/lifetime×1/(annual use)×1/(standard load)</t>
        </is>
      </c>
      <c r="D4" t="inlineStr">
        <is>
          <t>1*((0.13*(12.5*365.25*24*60-12.5*160*108.9)/60)*10 ** (-3) )*(1/160)*(1/5.92)</t>
        </is>
      </c>
      <c r="E4" t="inlineStr">
        <is>
          <t>passive electricity use</t>
        </is>
      </c>
    </row>
    <row r="5" hidden="1" s="80">
      <c r="A5" t="inlineStr">
        <is>
          <t>tumble drying, cotton, closet dry</t>
        </is>
      </c>
      <c r="B5" s="8" t="inlineStr">
        <is>
          <t>market group for electricity, low voltage</t>
        </is>
      </c>
      <c r="C5" t="inlineStr">
        <is>
          <t>garment weight×(1+remaining moisture/100)×electricity use specific closet dry × Duration specific closet dry ×  1/(Load specific closet dry)</t>
        </is>
      </c>
      <c r="D5" t="inlineStr">
        <is>
          <t>(1 * (1+44/100)*1.99*(154/60))/8</t>
        </is>
      </c>
      <c r="E5" t="inlineStr">
        <is>
          <t>active electricity use</t>
        </is>
      </c>
    </row>
    <row r="6" hidden="1" s="80">
      <c r="A6" s="50" t="inlineStr">
        <is>
          <t>tumble drying, cotton, iron dry</t>
        </is>
      </c>
      <c r="B6" s="8" t="inlineStr">
        <is>
          <t>market group for electricity, low voltage</t>
        </is>
      </c>
      <c r="C6" t="inlineStr">
        <is>
          <t>garment weight×(1+remaining moisture/100)×electricity use specific Iron dry × Duration specific Iron dry ×  1/(Load specific Iron dry)</t>
        </is>
      </c>
      <c r="D6" t="inlineStr">
        <is>
          <t>(1 * (1+44/100)*1.51*(118/60))/8</t>
        </is>
      </c>
      <c r="E6" t="inlineStr">
        <is>
          <t>active electricity use</t>
        </is>
      </c>
    </row>
    <row r="7" hidden="1" s="80">
      <c r="A7" s="17" t="inlineStr">
        <is>
          <t>tumble drying, synthetics, closet dry</t>
        </is>
      </c>
      <c r="B7" s="18" t="inlineStr">
        <is>
          <t>market group for electricity, low voltage</t>
        </is>
      </c>
      <c r="C7" s="18" t="inlineStr">
        <is>
          <t>garment weight×(1+remaining moisture/100)×electricity use specific closet dry × Duration specific closet dry ×  1/(Load specific closet dry)</t>
        </is>
      </c>
      <c r="D7" s="18" t="inlineStr">
        <is>
          <t>(1 * (1+35/100)*0.75*(67/60))/3.5</t>
        </is>
      </c>
      <c r="E7" s="19" t="inlineStr">
        <is>
          <t>active electricity use</t>
        </is>
      </c>
    </row>
    <row r="8" hidden="1" s="80">
      <c r="A8" t="inlineStr">
        <is>
          <t>ironing, average, 1 min</t>
        </is>
      </c>
      <c r="B8" s="9" t="inlineStr">
        <is>
          <t>market for electric kettle</t>
        </is>
      </c>
      <c r="C8" t="inlineStr">
        <is>
          <t>time spend/(lifetime of electric kettle × daily time spend on ironing × 7 × 52)</t>
        </is>
      </c>
      <c r="D8" t="inlineStr">
        <is>
          <t>1/(4*5,87*7*52)</t>
        </is>
      </c>
      <c r="E8" t="inlineStr">
        <is>
          <t xml:space="preserve">ironing (/electric kettle) appliance impact </t>
        </is>
      </c>
    </row>
    <row r="9" hidden="1" s="80">
      <c r="A9" t="inlineStr">
        <is>
          <t>ironing, average, 1 min</t>
        </is>
      </c>
      <c r="B9" s="9" t="inlineStr">
        <is>
          <t>market group for electricity, low voltage</t>
        </is>
      </c>
      <c r="C9" t="inlineStr">
        <is>
          <t>electicity use×time spend</t>
        </is>
      </c>
      <c r="D9" t="inlineStr">
        <is>
          <t>0.027*1</t>
        </is>
      </c>
      <c r="E9" t="inlineStr">
        <is>
          <t>electricity use</t>
        </is>
      </c>
    </row>
    <row r="10" hidden="1" s="80">
      <c r="A10" t="inlineStr">
        <is>
          <t>washing, dry cleaning</t>
        </is>
      </c>
      <c r="B10" s="9" t="inlineStr">
        <is>
          <t>tetrachloroethylene production</t>
        </is>
      </c>
      <c r="C10" t="inlineStr">
        <is>
          <t xml:space="preserve">garment weight × PERC amount </t>
        </is>
      </c>
      <c r="D10" t="inlineStr">
        <is>
          <t>1*0.0307</t>
        </is>
      </c>
      <c r="E10" t="inlineStr">
        <is>
          <t>PERC use</t>
        </is>
      </c>
    </row>
    <row r="11" hidden="1" s="80">
      <c r="A11" t="inlineStr">
        <is>
          <t>washing, dry cleaning</t>
        </is>
      </c>
      <c r="B11" s="9" t="inlineStr">
        <is>
          <t>market group for electricity, medium voltage</t>
        </is>
      </c>
      <c r="C11" t="inlineStr">
        <is>
          <t>garment weight× electricity use</t>
        </is>
      </c>
      <c r="D11" t="inlineStr">
        <is>
          <t>1*0.586</t>
        </is>
      </c>
      <c r="E11" t="inlineStr">
        <is>
          <t>electricity use</t>
        </is>
      </c>
    </row>
    <row r="12" hidden="1" s="80">
      <c r="A12" t="inlineStr">
        <is>
          <t>washing, dry cleaning</t>
        </is>
      </c>
      <c r="B12" s="9" t="inlineStr">
        <is>
          <t>market for hazardous waste, for incineration</t>
        </is>
      </c>
      <c r="C12" t="inlineStr">
        <is>
          <t>garment weight× PERC amount ×  (hazardous waste/100)</t>
        </is>
      </c>
      <c r="D12" t="inlineStr">
        <is>
          <t>1*0.0307*(100/100)</t>
        </is>
      </c>
      <c r="E12" t="inlineStr">
        <is>
          <t>hazardous waste</t>
        </is>
      </c>
    </row>
    <row r="13">
      <c r="A13" t="inlineStr">
        <is>
          <t>washing, average, 30°</t>
        </is>
      </c>
      <c r="B13" s="9" t="inlineStr">
        <is>
          <t>market group for electricity, low voltage</t>
        </is>
      </c>
      <c r="C13" t="inlineStr">
        <is>
          <t>(garment weight × electricity use specific × duration specific)/(load specific)</t>
        </is>
      </c>
      <c r="D13" t="inlineStr">
        <is>
          <t>(1*0.3*(75/60))/1.605</t>
        </is>
      </c>
      <c r="E13" t="inlineStr">
        <is>
          <t>active electricity use</t>
        </is>
      </c>
    </row>
    <row r="14">
      <c r="A14" t="inlineStr">
        <is>
          <t>washing, average, 40°</t>
        </is>
      </c>
      <c r="B14" s="9" t="inlineStr">
        <is>
          <t>market group for electricity, low voltage</t>
        </is>
      </c>
      <c r="C14" t="inlineStr">
        <is>
          <t>(garment weight × electricity use specific × duration specific)/(load specific)</t>
        </is>
      </c>
      <c r="D14" t="inlineStr">
        <is>
          <t>(1*0.8*(140/60))/2.97</t>
        </is>
      </c>
      <c r="E14" t="inlineStr">
        <is>
          <t>active electricity use</t>
        </is>
      </c>
    </row>
    <row r="15">
      <c r="A15" t="inlineStr">
        <is>
          <t>washing, average, 60°</t>
        </is>
      </c>
      <c r="B15" s="9" t="inlineStr">
        <is>
          <t>market group for electricity, low voltage</t>
        </is>
      </c>
      <c r="C15" t="inlineStr">
        <is>
          <t>(garment weight × electricity use specific × duration specific)/(load specific)</t>
        </is>
      </c>
      <c r="D15" t="inlineStr">
        <is>
          <t>(1*1.3*(220/60))/5.44</t>
        </is>
      </c>
      <c r="E15" t="inlineStr">
        <is>
          <t>active electricity use</t>
        </is>
      </c>
    </row>
    <row r="16">
      <c r="A16" t="inlineStr">
        <is>
          <t>washing, average, liquid detergent</t>
        </is>
      </c>
      <c r="B16" s="9" t="inlineStr">
        <is>
          <t>liquid detergent</t>
        </is>
      </c>
      <c r="C16" t="inlineStr">
        <is>
          <t>garment weight × liquid detergent amount</t>
        </is>
      </c>
      <c r="D16" t="inlineStr">
        <is>
          <t>1*0.0169</t>
        </is>
      </c>
      <c r="E16" t="inlineStr">
        <is>
          <t>liquid detergent use</t>
        </is>
      </c>
    </row>
    <row r="17">
      <c r="A17" t="inlineStr">
        <is>
          <t>washing, average</t>
        </is>
      </c>
      <c r="B17" s="9" t="inlineStr">
        <is>
          <t>market group for electricity, low voltage</t>
        </is>
      </c>
      <c r="C17" s="52" t="inlineStr">
        <is>
          <t>garment weight×((passive electricity use×(lifetime×365.25×24×60-lifetime×annual use×standard duration)*(1/60)×10^(-3))/lifetime)×1/(annual use)×1/(standard load)</t>
        </is>
      </c>
      <c r="D17" s="52" t="inlineStr">
        <is>
          <t>1*((0.3*(10*365.25*24*60-10*220*195)*(1/60)*10**(-3))/10*1/(220)*1/(5.92))</t>
        </is>
      </c>
      <c r="E17" t="inlineStr">
        <is>
          <t>passive electricity use</t>
        </is>
      </c>
    </row>
    <row r="18">
      <c r="A18" t="inlineStr">
        <is>
          <t>washing, average</t>
        </is>
      </c>
      <c r="B18" s="9" t="inlineStr">
        <is>
          <t>market group for electricity, low voltage</t>
        </is>
      </c>
      <c r="C18" s="52" t="inlineStr">
        <is>
          <t>garment weight×((passive electricity use×(lifetime×365.25×24×60-lifetime×annual use×standard duration)*(1/60)×10^(-3))/lifetime)×1/(annual use)×1/(standard load)</t>
        </is>
      </c>
      <c r="D18" s="52" t="inlineStr">
        <is>
          <t>1*((0.3*(10*365.25*24*60-10*220*195)*(1/60)*10**(-3))/10*1/(220)*1/(5.92))</t>
        </is>
      </c>
      <c r="E18" t="inlineStr">
        <is>
          <t>passive electricity use</t>
        </is>
      </c>
    </row>
    <row r="19">
      <c r="A19" t="inlineStr">
        <is>
          <t>washing, average, powder detergent</t>
        </is>
      </c>
      <c r="B19" s="9" t="inlineStr">
        <is>
          <t xml:space="preserve">powder detergent </t>
        </is>
      </c>
      <c r="C19" s="51" t="inlineStr">
        <is>
          <t>garment weight × powder detergent amount</t>
        </is>
      </c>
      <c r="D19" s="51" t="inlineStr">
        <is>
          <t>1*0.0196</t>
        </is>
      </c>
      <c r="E19" t="inlineStr">
        <is>
          <t>powder detergent use</t>
        </is>
      </c>
    </row>
    <row r="20">
      <c r="A20" t="inlineStr">
        <is>
          <t>washing, average</t>
        </is>
      </c>
      <c r="B20" s="9" t="inlineStr">
        <is>
          <t>market for washing machine</t>
        </is>
      </c>
      <c r="C20" t="inlineStr">
        <is>
          <t>(garment weight )/(lifetime × annual use × standard load)</t>
        </is>
      </c>
      <c r="D20" t="inlineStr">
        <is>
          <t>1/(10*220*5.92)</t>
        </is>
      </c>
      <c r="E20" t="inlineStr">
        <is>
          <t>washing machine impact</t>
        </is>
      </c>
    </row>
    <row r="21">
      <c r="A21" t="inlineStr">
        <is>
          <t>washing, average, 30°</t>
        </is>
      </c>
      <c r="B21" s="9" t="inlineStr">
        <is>
          <t>market for wastewater, average</t>
        </is>
      </c>
      <c r="C21" t="inlineStr">
        <is>
          <t>(garment weight × water use specific)/(load specific)× 10^(-3)-garment weight ×  (remaining moisture)/100×10^(-6)</t>
        </is>
      </c>
      <c r="D21" t="inlineStr">
        <is>
          <t>((1*60)/1.605)*10**(-3)-1*(30/100)*10**(-3)</t>
        </is>
      </c>
      <c r="E21" t="inlineStr">
        <is>
          <t>wastewater generation</t>
        </is>
      </c>
    </row>
    <row r="22">
      <c r="A22" t="inlineStr">
        <is>
          <t>washing, average, 40°</t>
        </is>
      </c>
      <c r="B22" s="9" t="inlineStr">
        <is>
          <t>market for wastewater, average</t>
        </is>
      </c>
      <c r="C22" t="inlineStr">
        <is>
          <t>(garment weight × water use specific)/(load specific)× 10^(-3)-garment weight ×  (remaining moisture)/100×10^(-6)</t>
        </is>
      </c>
      <c r="D22" t="inlineStr">
        <is>
          <t>((1*60)/2.97)*10**(-3)-1*(35/100)*10**(-3)</t>
        </is>
      </c>
      <c r="E22" t="inlineStr">
        <is>
          <t>wastewater generation</t>
        </is>
      </c>
    </row>
    <row r="23">
      <c r="A23" t="inlineStr">
        <is>
          <t>washing, average, 60°</t>
        </is>
      </c>
      <c r="B23" s="9" t="inlineStr">
        <is>
          <t>market for wastewater, average</t>
        </is>
      </c>
      <c r="C23" t="inlineStr">
        <is>
          <t>(garment weight × water use specific)/(load specific)× 10^(-3)-garment weight ×  (remaining moisture)/100×10^(-6)</t>
        </is>
      </c>
      <c r="D23" t="inlineStr">
        <is>
          <t>((1*80)/5.44)*10**(-3)-1*(44/100)*10**(-3)</t>
        </is>
      </c>
      <c r="E23" t="inlineStr">
        <is>
          <t>wastewater generation</t>
        </is>
      </c>
    </row>
    <row r="24">
      <c r="A24" t="inlineStr">
        <is>
          <t>washing, average, 30°</t>
        </is>
      </c>
      <c r="B24" s="9" t="inlineStr">
        <is>
          <t>market for tap water</t>
        </is>
      </c>
      <c r="C24" t="inlineStr">
        <is>
          <t>garment weight ×  water use specific ×1/(load specific)</t>
        </is>
      </c>
      <c r="D24" t="inlineStr">
        <is>
          <t>1*60*(1/1.605)</t>
        </is>
      </c>
      <c r="E24" t="inlineStr">
        <is>
          <t>water use</t>
        </is>
      </c>
    </row>
    <row r="25">
      <c r="A25" t="inlineStr">
        <is>
          <t>washing, average, 40°</t>
        </is>
      </c>
      <c r="B25" s="9" t="inlineStr">
        <is>
          <t>market for tap water</t>
        </is>
      </c>
      <c r="C25" t="inlineStr">
        <is>
          <t>garment weight ×  water use specific ×1/(load specific)</t>
        </is>
      </c>
      <c r="D25" t="inlineStr">
        <is>
          <t>1*60*(1/2.97)</t>
        </is>
      </c>
      <c r="E25" t="inlineStr">
        <is>
          <t>water use</t>
        </is>
      </c>
    </row>
    <row r="26">
      <c r="A26" t="inlineStr">
        <is>
          <t>washing, average, 60°</t>
        </is>
      </c>
      <c r="B26" s="9" t="inlineStr">
        <is>
          <t>market for tap water</t>
        </is>
      </c>
      <c r="C26" s="51" t="inlineStr">
        <is>
          <t>garment weight ×  water use specific ×1/(load specific)</t>
        </is>
      </c>
      <c r="D26" s="51" t="inlineStr">
        <is>
          <t>1*80*(1/5.44)</t>
        </is>
      </c>
      <c r="E26" t="inlineStr">
        <is>
          <t>water use</t>
        </is>
      </c>
    </row>
    <row r="27" hidden="1" s="80">
      <c r="A27" t="inlineStr">
        <is>
          <t>hand washing</t>
        </is>
      </c>
      <c r="B27" s="9" t="inlineStr">
        <is>
          <t>market group for electricity, low voltage</t>
        </is>
      </c>
      <c r="C27" s="29" t="inlineStr">
        <is>
          <t xml:space="preserve">garment weight × electricity use </t>
        </is>
      </c>
      <c r="D27" s="29" t="inlineStr">
        <is>
          <t>1*0.165</t>
        </is>
      </c>
      <c r="E27" t="inlineStr">
        <is>
          <t>electricity use</t>
        </is>
      </c>
    </row>
    <row r="28" hidden="1" s="80">
      <c r="A28" t="inlineStr">
        <is>
          <t>hand washing</t>
        </is>
      </c>
      <c r="B28" s="9" t="inlineStr">
        <is>
          <t>market for tap water</t>
        </is>
      </c>
      <c r="C28" t="inlineStr">
        <is>
          <t>garment weight×water use</t>
        </is>
      </c>
      <c r="D28" t="inlineStr">
        <is>
          <t>1*7.1</t>
        </is>
      </c>
      <c r="E28" t="inlineStr">
        <is>
          <t>water use</t>
        </is>
      </c>
    </row>
    <row r="29" hidden="1" s="80">
      <c r="A29" t="inlineStr">
        <is>
          <t>hand washing</t>
        </is>
      </c>
      <c r="B29" s="9" t="inlineStr">
        <is>
          <t>market for wastewater, average</t>
        </is>
      </c>
      <c r="C29" t="inlineStr">
        <is>
          <t>garment weight× water use per wash× 10^(-3)-garment weight ×(remaining moisture)/100×10^(-6)</t>
        </is>
      </c>
      <c r="D29" t="inlineStr">
        <is>
          <t>1*7.1*10**(-3)-1*(50/100)*10**(-6)</t>
        </is>
      </c>
      <c r="E29" t="inlineStr">
        <is>
          <t>wastewater generation</t>
        </is>
      </c>
    </row>
    <row r="30" hidden="1" s="80">
      <c r="A30" t="inlineStr">
        <is>
          <t>hand washing, liquid detergent</t>
        </is>
      </c>
      <c r="B30" s="9" t="inlineStr">
        <is>
          <t>liquid detergent</t>
        </is>
      </c>
      <c r="C30" t="inlineStr">
        <is>
          <t>garment weight × liquid detergent use</t>
        </is>
      </c>
      <c r="D30" t="inlineStr">
        <is>
          <t>1*0.0169</t>
        </is>
      </c>
      <c r="E30" t="inlineStr">
        <is>
          <t>liquid detergent use</t>
        </is>
      </c>
    </row>
    <row r="31" hidden="1" s="80">
      <c r="A31" t="inlineStr">
        <is>
          <t>hand washing, powder detergent</t>
        </is>
      </c>
      <c r="B31" s="9" t="inlineStr">
        <is>
          <t xml:space="preserve">powder detergent </t>
        </is>
      </c>
      <c r="C31" t="inlineStr">
        <is>
          <t>garment weight × powder detergent use</t>
        </is>
      </c>
      <c r="D31" t="inlineStr">
        <is>
          <t>1*0.0196</t>
        </is>
      </c>
      <c r="E31" t="inlineStr">
        <is>
          <t>powder detergent use</t>
        </is>
      </c>
    </row>
    <row r="32" hidden="1" s="80">
      <c r="B32" s="9" t="n"/>
    </row>
    <row r="33" hidden="1" s="80">
      <c r="B33" s="9" t="n"/>
    </row>
    <row r="34" hidden="1" s="80">
      <c r="B34" s="9" t="n"/>
    </row>
    <row r="35" hidden="1" s="80">
      <c r="B35" s="9" t="n"/>
    </row>
    <row r="36" hidden="1" s="80">
      <c r="B36" s="9"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88"/>
  <sheetViews>
    <sheetView topLeftCell="A234" zoomScale="82" zoomScaleNormal="75" workbookViewId="0">
      <selection activeCell="G264" sqref="G264"/>
    </sheetView>
  </sheetViews>
  <sheetFormatPr baseColWidth="10" defaultRowHeight="16"/>
  <cols>
    <col width="37.1640625" bestFit="1" customWidth="1" style="80" min="1" max="1"/>
    <col width="24" customWidth="1" style="80" min="2" max="2"/>
    <col width="23.5" bestFit="1" customWidth="1" style="80" min="3" max="3"/>
    <col width="24" bestFit="1" customWidth="1" style="80" min="4" max="4"/>
    <col width="18.83203125" customWidth="1" style="80" min="5" max="5"/>
    <col width="24.1640625" customWidth="1" style="80" min="6" max="6"/>
    <col width="20.1640625" customWidth="1" style="80" min="7" max="7"/>
  </cols>
  <sheetData>
    <row r="1">
      <c r="A1" s="1" t="inlineStr">
        <is>
          <t>Database</t>
        </is>
      </c>
      <c r="B1" s="1" t="inlineStr">
        <is>
          <t>use-phase-laundry</t>
        </is>
      </c>
      <c r="C1" s="1" t="n"/>
      <c r="D1" s="1" t="n"/>
      <c r="E1" s="1" t="n"/>
      <c r="F1" s="1" t="n"/>
      <c r="G1" s="1" t="n"/>
    </row>
    <row r="3">
      <c r="A3" s="81" t="inlineStr">
        <is>
          <t>Activity</t>
        </is>
      </c>
      <c r="B3" s="81" t="inlineStr">
        <is>
          <t>tumble drying, cotton, closet dry</t>
        </is>
      </c>
      <c r="C3" s="12" t="n"/>
      <c r="D3" s="12" t="n"/>
      <c r="E3" s="12" t="n"/>
    </row>
    <row r="4">
      <c r="A4" s="6" t="inlineStr">
        <is>
          <t>comment</t>
        </is>
      </c>
      <c r="B4" s="13" t="inlineStr">
        <is>
          <t>This dataset describes the tumble drying of garments using a cotton ‘closet dry’ program. It includes environmental impacts from the dryer’s production, disposal, and electricity use. Technical specifications are based on an AEG LD8KR845E dryer.</t>
        </is>
      </c>
      <c r="C4" s="23" t="n"/>
      <c r="D4" s="12" t="n"/>
      <c r="E4" s="12" t="n"/>
    </row>
    <row r="5">
      <c r="A5" s="12" t="inlineStr">
        <is>
          <t>location</t>
        </is>
      </c>
      <c r="B5" s="6" t="inlineStr">
        <is>
          <t>GLO</t>
        </is>
      </c>
      <c r="D5" s="12" t="n"/>
      <c r="E5" s="12" t="n"/>
    </row>
    <row r="6">
      <c r="A6" s="12" t="inlineStr">
        <is>
          <t>production amount</t>
        </is>
      </c>
      <c r="B6" s="12" t="n">
        <v>1</v>
      </c>
      <c r="C6" s="12" t="n"/>
      <c r="D6" s="12" t="n"/>
      <c r="E6" s="12" t="n"/>
    </row>
    <row r="7">
      <c r="A7" s="12" t="inlineStr">
        <is>
          <t>reference product</t>
        </is>
      </c>
      <c r="B7" s="12" t="inlineStr">
        <is>
          <t>tumble drying, cotton, closet dry</t>
        </is>
      </c>
      <c r="C7" s="12" t="n"/>
      <c r="D7" s="12" t="n"/>
      <c r="E7" s="12" t="n"/>
    </row>
    <row r="8">
      <c r="A8" s="12" t="inlineStr">
        <is>
          <t>unit</t>
        </is>
      </c>
      <c r="B8" s="12" t="inlineStr">
        <is>
          <t>kg garment</t>
        </is>
      </c>
      <c r="C8" s="12" t="n"/>
      <c r="D8" s="13" t="n"/>
      <c r="E8" s="12" t="n"/>
    </row>
    <row r="9">
      <c r="A9" s="12" t="n"/>
      <c r="B9" s="12" t="n"/>
      <c r="C9" s="12" t="n"/>
      <c r="D9" s="12" t="n"/>
      <c r="E9" s="12" t="n"/>
    </row>
    <row r="10">
      <c r="A10" s="14" t="inlineStr">
        <is>
          <t>Exchanges</t>
        </is>
      </c>
      <c r="B10" s="12" t="n"/>
      <c r="C10" s="12" t="n"/>
      <c r="D10" s="12" t="n"/>
      <c r="E10" s="12" t="n"/>
    </row>
    <row r="11">
      <c r="A11" s="15" t="inlineStr">
        <is>
          <t>name</t>
        </is>
      </c>
      <c r="B11" s="15" t="inlineStr">
        <is>
          <t>amount</t>
        </is>
      </c>
      <c r="C11" s="15" t="inlineStr">
        <is>
          <t>location</t>
        </is>
      </c>
      <c r="D11" s="15" t="inlineStr">
        <is>
          <t>unit</t>
        </is>
      </c>
      <c r="E11" s="15" t="inlineStr">
        <is>
          <t>type</t>
        </is>
      </c>
      <c r="F11" s="7" t="inlineStr">
        <is>
          <t>comment</t>
        </is>
      </c>
      <c r="G11" s="16" t="n"/>
    </row>
    <row r="12">
      <c r="A12" s="6" t="inlineStr">
        <is>
          <t>tumble drying, cotton, closet dry</t>
        </is>
      </c>
      <c r="B12" s="6" t="n">
        <v>1</v>
      </c>
      <c r="C12" s="6" t="inlineStr">
        <is>
          <t>GLO</t>
        </is>
      </c>
      <c r="D12" s="12" t="inlineStr">
        <is>
          <t>kg garment</t>
        </is>
      </c>
      <c r="E12" s="6" t="inlineStr">
        <is>
          <t>production</t>
        </is>
      </c>
      <c r="F12" s="26" t="inlineStr">
        <is>
          <t>-</t>
        </is>
      </c>
    </row>
    <row r="13">
      <c r="A13" s="6" t="inlineStr">
        <is>
          <t>market for dryer</t>
        </is>
      </c>
      <c r="B13" s="6" t="n">
        <v>0.000121621621621621</v>
      </c>
      <c r="C13" s="6" t="inlineStr">
        <is>
          <t>GLO</t>
        </is>
      </c>
      <c r="D13" s="6" t="inlineStr">
        <is>
          <t>unit</t>
        </is>
      </c>
      <c r="E13" s="6" t="inlineStr">
        <is>
          <t>technosphere</t>
        </is>
      </c>
      <c r="F13" s="21" t="inlineStr">
        <is>
          <t xml:space="preserve">From original dataset; represents dryer production and disposal impacts allocated per kg of garment and per cycle. </t>
        </is>
      </c>
      <c r="G13" s="21" t="n"/>
    </row>
    <row r="14">
      <c r="A14" s="6" t="inlineStr">
        <is>
          <t>market group for electricity, low voltage</t>
        </is>
      </c>
      <c r="B14" s="6" t="n">
        <v>0.3582</v>
      </c>
      <c r="C14" s="6" t="inlineStr">
        <is>
          <t>Europe without Switzerland</t>
        </is>
      </c>
      <c r="D14" s="6" t="inlineStr">
        <is>
          <t>kilowatt hour</t>
        </is>
      </c>
      <c r="E14" s="6" t="inlineStr">
        <is>
          <t>technosphere</t>
        </is>
      </c>
      <c r="F14" s="21" t="inlineStr">
        <is>
          <t>From original dataset; active electricity demand calculated based on program-specific electricity use and load factor (duration factor removed — el_use_specific is already total kWh/program).</t>
        </is>
      </c>
      <c r="G14" s="21" t="n"/>
    </row>
    <row r="15">
      <c r="A15" s="6" t="inlineStr">
        <is>
          <t>market group for electricity, low voltage</t>
        </is>
      </c>
      <c r="B15" s="6" t="n">
        <v>0.0145405933277027</v>
      </c>
      <c r="C15" s="6" t="inlineStr">
        <is>
          <t>Europe without Switzerland</t>
        </is>
      </c>
      <c r="D15" s="6" t="inlineStr">
        <is>
          <t>kilowatt hour</t>
        </is>
      </c>
      <c r="E15" s="6" t="inlineStr">
        <is>
          <t>technosphere</t>
        </is>
      </c>
      <c r="F15" s="21" t="inlineStr">
        <is>
          <t>From original dataset; passive electricity consumption.</t>
        </is>
      </c>
      <c r="G15" s="21" t="n"/>
    </row>
    <row r="17">
      <c r="A17" s="1" t="n"/>
      <c r="B17" s="1" t="n"/>
      <c r="C17" s="1" t="n"/>
      <c r="D17" s="1" t="n"/>
      <c r="E17" s="1" t="n"/>
      <c r="F17" s="1" t="n"/>
      <c r="G17" s="1" t="n"/>
    </row>
    <row r="19">
      <c r="A19" s="81" t="inlineStr">
        <is>
          <t>Activity</t>
        </is>
      </c>
      <c r="B19" s="81" t="inlineStr">
        <is>
          <t>tumble drying, cotton, iron dry</t>
        </is>
      </c>
      <c r="C19" s="6" t="n"/>
      <c r="D19" s="6" t="n"/>
      <c r="E19" s="6" t="n"/>
    </row>
    <row r="20">
      <c r="A20" s="6" t="inlineStr">
        <is>
          <t>comment</t>
        </is>
      </c>
      <c r="B20" s="13" t="inlineStr">
        <is>
          <t>This dataset describes the tumble drying of garments using a cotton ‘iron dry’ program. It includes environmental impacts from the dryer’s production, disposal, and electricity use. Technical specifications are based on an AEG LD8KR845E dryer.</t>
        </is>
      </c>
      <c r="C20" s="6" t="n"/>
      <c r="D20" s="6" t="n"/>
      <c r="E20" s="6" t="n"/>
    </row>
    <row r="21">
      <c r="A21" s="6" t="inlineStr">
        <is>
          <t>location</t>
        </is>
      </c>
      <c r="B21" s="6" t="inlineStr">
        <is>
          <t>GLO</t>
        </is>
      </c>
      <c r="C21" s="6" t="n"/>
      <c r="D21" s="6" t="n"/>
      <c r="E21" s="6" t="n"/>
    </row>
    <row r="22">
      <c r="A22" s="12" t="inlineStr">
        <is>
          <t>production amount</t>
        </is>
      </c>
      <c r="B22" s="12" t="n">
        <v>1</v>
      </c>
    </row>
    <row r="23">
      <c r="A23" s="6" t="inlineStr">
        <is>
          <t>reference product</t>
        </is>
      </c>
      <c r="B23" s="6" t="inlineStr">
        <is>
          <t>tumble drying, cotton, iron dry</t>
        </is>
      </c>
      <c r="C23" s="6" t="n"/>
      <c r="D23" s="6" t="n"/>
      <c r="E23" s="6" t="n"/>
    </row>
    <row r="24">
      <c r="A24" s="12" t="inlineStr">
        <is>
          <t>unit</t>
        </is>
      </c>
      <c r="B24" s="12" t="inlineStr">
        <is>
          <t>kg garment</t>
        </is>
      </c>
      <c r="C24" s="6" t="n"/>
      <c r="D24" s="6" t="n"/>
      <c r="E24" s="6" t="n"/>
    </row>
    <row r="25">
      <c r="A25" s="6" t="n"/>
      <c r="B25" s="6" t="n"/>
      <c r="C25" s="6" t="n"/>
      <c r="D25" s="6" t="n"/>
      <c r="E25" s="6" t="n"/>
    </row>
    <row r="26">
      <c r="A26" s="14" t="inlineStr">
        <is>
          <t>Exchanges</t>
        </is>
      </c>
      <c r="B26" s="12" t="n"/>
      <c r="C26" s="12" t="n"/>
      <c r="D26" s="12" t="n"/>
      <c r="E26" s="12" t="n"/>
    </row>
    <row r="27">
      <c r="A27" s="15" t="inlineStr">
        <is>
          <t>name</t>
        </is>
      </c>
      <c r="B27" s="15" t="inlineStr">
        <is>
          <t>amount</t>
        </is>
      </c>
      <c r="C27" s="15" t="inlineStr">
        <is>
          <t>location</t>
        </is>
      </c>
      <c r="D27" s="15" t="inlineStr">
        <is>
          <t>unit</t>
        </is>
      </c>
      <c r="E27" s="15" t="inlineStr">
        <is>
          <t>type</t>
        </is>
      </c>
      <c r="F27" s="7" t="inlineStr">
        <is>
          <t>comment</t>
        </is>
      </c>
    </row>
    <row r="28">
      <c r="A28" s="6" t="inlineStr">
        <is>
          <t>tumble drying, cotton, iron dry</t>
        </is>
      </c>
      <c r="B28" s="6" t="n">
        <v>1</v>
      </c>
      <c r="C28" s="6" t="inlineStr">
        <is>
          <t>GLO</t>
        </is>
      </c>
      <c r="D28" s="12" t="inlineStr">
        <is>
          <t>kg garment</t>
        </is>
      </c>
      <c r="E28" s="6" t="inlineStr">
        <is>
          <t>production</t>
        </is>
      </c>
      <c r="F28" s="26" t="inlineStr">
        <is>
          <t>-</t>
        </is>
      </c>
    </row>
    <row r="29">
      <c r="A29" s="6" t="inlineStr">
        <is>
          <t>market for dryer</t>
        </is>
      </c>
      <c r="B29" s="6" t="n">
        <v>0.000121621621621621</v>
      </c>
      <c r="C29" s="6" t="inlineStr">
        <is>
          <t>GLO</t>
        </is>
      </c>
      <c r="D29" s="6" t="inlineStr">
        <is>
          <t>unit</t>
        </is>
      </c>
      <c r="E29" s="6" t="inlineStr">
        <is>
          <t>technosphere</t>
        </is>
      </c>
      <c r="F29" s="21" t="inlineStr">
        <is>
          <t>From original dataset; represents dryer production and disposal impacts allocated per kg of garment.</t>
        </is>
      </c>
    </row>
    <row r="30">
      <c r="A30" s="6" t="inlineStr">
        <is>
          <t>market group for electricity, low voltage</t>
        </is>
      </c>
      <c r="B30" s="6" t="n">
        <v>0.2718</v>
      </c>
      <c r="C30" s="6" t="inlineStr">
        <is>
          <t>Europe without Switzerland</t>
        </is>
      </c>
      <c r="D30" s="6" t="inlineStr">
        <is>
          <t>kilowatt hour</t>
        </is>
      </c>
      <c r="E30" s="6" t="inlineStr">
        <is>
          <t>technosphere</t>
        </is>
      </c>
      <c r="F30" s="21" t="inlineStr">
        <is>
          <t>From original dataset; active electricity demand calculated based on program-specific electricity use and load factor (duration factor removed — el_use_specific is already total kWh/program).</t>
        </is>
      </c>
    </row>
    <row r="31">
      <c r="A31" s="6" t="inlineStr">
        <is>
          <t>market group for electricity, low voltage</t>
        </is>
      </c>
      <c r="B31" s="6" t="n">
        <v>0.0145405933277027</v>
      </c>
      <c r="C31" s="6" t="inlineStr">
        <is>
          <t>Europe without Switzerland</t>
        </is>
      </c>
      <c r="D31" s="6" t="inlineStr">
        <is>
          <t>kilowatt hour</t>
        </is>
      </c>
      <c r="E31" s="6" t="inlineStr">
        <is>
          <t>technosphere</t>
        </is>
      </c>
      <c r="F31" s="21" t="inlineStr">
        <is>
          <t>From original dataset; passive electricity consumption.</t>
        </is>
      </c>
    </row>
    <row r="33">
      <c r="A33" s="1" t="n"/>
      <c r="B33" s="1" t="n"/>
      <c r="C33" s="1" t="n"/>
      <c r="D33" s="1" t="n"/>
      <c r="E33" s="1" t="n"/>
      <c r="F33" s="1" t="n"/>
      <c r="G33" s="1" t="n"/>
    </row>
    <row r="35">
      <c r="A35" s="2" t="inlineStr">
        <is>
          <t>Activity</t>
        </is>
      </c>
      <c r="B35" s="2" t="inlineStr">
        <is>
          <t>tumble drying, synthetics, closet dry</t>
        </is>
      </c>
    </row>
    <row r="36">
      <c r="A36" t="inlineStr">
        <is>
          <t>comment</t>
        </is>
      </c>
      <c r="B36" s="27" t="inlineStr">
        <is>
          <t>This dataset describes the tumble drying of garments using a synthetics ‘closet dry’ program. It includes environmental impacts from the dryer’s production, disposal, and electricity use. Technical specifications are based on an AEG LD8KR845E dryer.</t>
        </is>
      </c>
    </row>
    <row r="37">
      <c r="A37" t="inlineStr">
        <is>
          <t>location</t>
        </is>
      </c>
      <c r="B37" t="inlineStr">
        <is>
          <t>GLO</t>
        </is>
      </c>
    </row>
    <row r="38">
      <c r="A38" t="inlineStr">
        <is>
          <t>production amount</t>
        </is>
      </c>
      <c r="B38" t="n">
        <v>1</v>
      </c>
    </row>
    <row r="39">
      <c r="A39" t="inlineStr">
        <is>
          <t>reference product</t>
        </is>
      </c>
      <c r="B39" t="inlineStr">
        <is>
          <t>tumble drying, synthetics, closet dry</t>
        </is>
      </c>
    </row>
    <row r="40">
      <c r="A40" t="inlineStr">
        <is>
          <t>unit</t>
        </is>
      </c>
      <c r="B40" s="12" t="inlineStr">
        <is>
          <t>kg garment</t>
        </is>
      </c>
    </row>
    <row r="42">
      <c r="A42" s="14" t="inlineStr">
        <is>
          <t>Exchanges</t>
        </is>
      </c>
      <c r="B42" s="12" t="n"/>
      <c r="C42" s="12" t="n"/>
      <c r="D42" s="12" t="n"/>
      <c r="E42" s="12" t="n"/>
    </row>
    <row r="43">
      <c r="A43" s="15" t="inlineStr">
        <is>
          <t>name</t>
        </is>
      </c>
      <c r="B43" s="15" t="inlineStr">
        <is>
          <t>amount</t>
        </is>
      </c>
      <c r="C43" s="15" t="inlineStr">
        <is>
          <t>location</t>
        </is>
      </c>
      <c r="D43" s="15" t="inlineStr">
        <is>
          <t>unit</t>
        </is>
      </c>
      <c r="E43" s="15" t="inlineStr">
        <is>
          <t>type</t>
        </is>
      </c>
      <c r="F43" s="7" t="inlineStr">
        <is>
          <t>comment</t>
        </is>
      </c>
    </row>
    <row r="44">
      <c r="A44" t="inlineStr">
        <is>
          <t>tumble drying, synthetics, closet dry</t>
        </is>
      </c>
      <c r="B44" t="n">
        <v>1</v>
      </c>
      <c r="C44" t="inlineStr">
        <is>
          <t>GLO</t>
        </is>
      </c>
      <c r="D44" s="12" t="inlineStr">
        <is>
          <t>kg garment</t>
        </is>
      </c>
      <c r="E44" t="inlineStr">
        <is>
          <t>production</t>
        </is>
      </c>
      <c r="F44" s="26" t="inlineStr">
        <is>
          <t>-</t>
        </is>
      </c>
    </row>
    <row r="45">
      <c r="A45" t="inlineStr">
        <is>
          <t>market for dryer</t>
        </is>
      </c>
      <c r="B45" t="n">
        <v>0.000122727272727272</v>
      </c>
      <c r="C45" t="inlineStr">
        <is>
          <t>GLO</t>
        </is>
      </c>
      <c r="D45" t="inlineStr">
        <is>
          <t>unit</t>
        </is>
      </c>
      <c r="E45" t="inlineStr">
        <is>
          <t>technosphere</t>
        </is>
      </c>
      <c r="F45" s="21" t="inlineStr">
        <is>
          <t xml:space="preserve">From original dataset; represents dryer production and disposal impacts allocated per kg of garment. </t>
        </is>
      </c>
    </row>
    <row r="46">
      <c r="A46" t="inlineStr">
        <is>
          <t>market group for electricity, low voltage</t>
        </is>
      </c>
      <c r="B46" t="n">
        <v>0.2892857142857143</v>
      </c>
      <c r="C46" t="inlineStr">
        <is>
          <t>Europe without Switzerland</t>
        </is>
      </c>
      <c r="D46" t="inlineStr">
        <is>
          <t>kilowatt hour</t>
        </is>
      </c>
      <c r="E46" t="inlineStr">
        <is>
          <t>technosphere</t>
        </is>
      </c>
      <c r="F46" s="21" t="inlineStr">
        <is>
          <t>From original dataset; active electricity demand calculated based on program-specific electricity use and load factor (duration factor removed — el_use_specific is already total kWh/program).</t>
        </is>
      </c>
    </row>
    <row r="47">
      <c r="A47" t="inlineStr">
        <is>
          <t>market group for electricity, low voltage</t>
        </is>
      </c>
      <c r="B47" s="6" t="n">
        <v>0.0145405933277027</v>
      </c>
      <c r="C47" t="inlineStr">
        <is>
          <t>Europe without Switzerland</t>
        </is>
      </c>
      <c r="D47" t="inlineStr">
        <is>
          <t>kilowatt hour</t>
        </is>
      </c>
      <c r="E47" t="inlineStr">
        <is>
          <t>technosphere</t>
        </is>
      </c>
      <c r="F47" s="21" t="inlineStr">
        <is>
          <t>From original dataset; passive electricity consumption.</t>
        </is>
      </c>
    </row>
    <row r="49">
      <c r="A49" s="1" t="n"/>
      <c r="B49" s="1" t="n"/>
      <c r="C49" s="1" t="n"/>
      <c r="D49" s="1" t="n"/>
      <c r="E49" s="1" t="n"/>
      <c r="F49" s="1" t="n"/>
      <c r="G49" s="1" t="n"/>
    </row>
    <row r="51">
      <c r="A51" s="2" t="inlineStr">
        <is>
          <t>Activity</t>
        </is>
      </c>
      <c r="B51" s="2" t="inlineStr">
        <is>
          <t>ironing, average, 1 min</t>
        </is>
      </c>
    </row>
    <row r="52">
      <c r="A52" t="inlineStr">
        <is>
          <t>comment</t>
        </is>
      </c>
      <c r="B52" s="13" t="inlineStr">
        <is>
          <t>This dataset models the impacts of one minute of residential ironing based on literature values and time-use statistics. No mass allocation is applied.</t>
        </is>
      </c>
    </row>
    <row r="53">
      <c r="A53" t="inlineStr">
        <is>
          <t>location</t>
        </is>
      </c>
      <c r="B53" t="inlineStr">
        <is>
          <t>GLO</t>
        </is>
      </c>
    </row>
    <row r="54">
      <c r="A54" t="inlineStr">
        <is>
          <t>production amount</t>
        </is>
      </c>
      <c r="B54" t="n">
        <v>1</v>
      </c>
    </row>
    <row r="55">
      <c r="A55" t="inlineStr">
        <is>
          <t>reference product</t>
        </is>
      </c>
      <c r="B55" t="inlineStr">
        <is>
          <t>ironing, average, 1 min</t>
        </is>
      </c>
    </row>
    <row r="56">
      <c r="A56" t="inlineStr">
        <is>
          <t>unit</t>
        </is>
      </c>
      <c r="B56" t="inlineStr">
        <is>
          <t>per minute spent ironing</t>
        </is>
      </c>
    </row>
    <row r="58">
      <c r="A58" s="14" t="inlineStr">
        <is>
          <t>Exchanges</t>
        </is>
      </c>
      <c r="B58" s="12" t="n"/>
      <c r="C58" s="12" t="n"/>
      <c r="D58" s="12" t="n"/>
      <c r="E58" s="12" t="n"/>
    </row>
    <row r="59">
      <c r="A59" s="15" t="inlineStr">
        <is>
          <t>name</t>
        </is>
      </c>
      <c r="B59" s="15" t="inlineStr">
        <is>
          <t>amount</t>
        </is>
      </c>
      <c r="C59" s="15" t="inlineStr">
        <is>
          <t>location</t>
        </is>
      </c>
      <c r="D59" s="15" t="inlineStr">
        <is>
          <t>unit</t>
        </is>
      </c>
      <c r="E59" s="15" t="inlineStr">
        <is>
          <t>type</t>
        </is>
      </c>
      <c r="F59" s="7" t="inlineStr">
        <is>
          <t>comment</t>
        </is>
      </c>
    </row>
    <row r="60">
      <c r="A60" t="inlineStr">
        <is>
          <t>ironing, average, 1 min</t>
        </is>
      </c>
      <c r="B60" t="n">
        <v>1</v>
      </c>
      <c r="C60" t="inlineStr">
        <is>
          <t>GLO</t>
        </is>
      </c>
      <c r="D60" t="inlineStr">
        <is>
          <t>per minute spent ironing</t>
        </is>
      </c>
      <c r="E60" t="inlineStr">
        <is>
          <t>production</t>
        </is>
      </c>
      <c r="F60" s="26" t="inlineStr">
        <is>
          <t>-</t>
        </is>
      </c>
    </row>
    <row r="61">
      <c r="A61" t="inlineStr">
        <is>
          <t>market for electric kettle</t>
        </is>
      </c>
      <c r="B61" t="n">
        <v>0.000117003950053353</v>
      </c>
      <c r="C61" t="inlineStr">
        <is>
          <t>GLO</t>
        </is>
      </c>
      <c r="D61" t="inlineStr">
        <is>
          <t>unit</t>
        </is>
      </c>
      <c r="E61" t="inlineStr">
        <is>
          <t>technosphere</t>
        </is>
      </c>
      <c r="F61" s="21" t="inlineStr">
        <is>
          <t>From original dataset; electric kettle used as proxy for iron due to lack of dedicated datasets in ecoinvent. Modeled based on appliance lifetime and daily ironing time.</t>
        </is>
      </c>
    </row>
    <row r="62">
      <c r="A62" t="inlineStr">
        <is>
          <t>market group for electricity, low voltage</t>
        </is>
      </c>
      <c r="B62" t="n">
        <v>0.027</v>
      </c>
      <c r="C62" t="inlineStr">
        <is>
          <t>Europe without Switzerland</t>
        </is>
      </c>
      <c r="D62" t="inlineStr">
        <is>
          <t>kilowatt hour</t>
        </is>
      </c>
      <c r="E62" t="inlineStr">
        <is>
          <t>technosphere</t>
        </is>
      </c>
      <c r="F62" s="21" t="inlineStr">
        <is>
          <t>From original dataset; electricity consumption calculated using 0.027 kWh/min from Sandin et al. (2019).</t>
        </is>
      </c>
    </row>
    <row r="63">
      <c r="F63" s="4" t="n"/>
    </row>
    <row r="64">
      <c r="A64" s="1" t="n"/>
      <c r="B64" s="1" t="n"/>
      <c r="C64" s="1" t="n"/>
      <c r="D64" s="1" t="n"/>
      <c r="E64" s="1" t="n"/>
      <c r="F64" s="1" t="n"/>
      <c r="G64" s="1" t="n"/>
    </row>
    <row r="66">
      <c r="A66" s="2" t="inlineStr">
        <is>
          <t>Activity</t>
        </is>
      </c>
      <c r="B66" s="2" t="inlineStr">
        <is>
          <t>washing, dry cleaning</t>
        </is>
      </c>
    </row>
    <row r="67">
      <c r="A67" t="inlineStr">
        <is>
          <t>comment</t>
        </is>
      </c>
      <c r="B67" s="13" t="inlineStr">
        <is>
          <t>This dataset models dry cleaning cycle and per kg of garment using perchloroethylene (PERC) as the cleaning solvent. Process inputs are simplified to PERC and electricity, and all used PERC is assumed to become hazardous waste.</t>
        </is>
      </c>
    </row>
    <row r="68">
      <c r="A68" t="inlineStr">
        <is>
          <t>location</t>
        </is>
      </c>
      <c r="B68" t="inlineStr">
        <is>
          <t>GLO</t>
        </is>
      </c>
    </row>
    <row r="69">
      <c r="A69" t="inlineStr">
        <is>
          <t>production amount</t>
        </is>
      </c>
      <c r="B69" t="n">
        <v>1</v>
      </c>
    </row>
    <row r="70">
      <c r="A70" t="inlineStr">
        <is>
          <t>reference product</t>
        </is>
      </c>
      <c r="B70" t="inlineStr">
        <is>
          <t>washing, dry cleaning</t>
        </is>
      </c>
    </row>
    <row r="71">
      <c r="A71" t="inlineStr">
        <is>
          <t>unit</t>
        </is>
      </c>
      <c r="B71" t="inlineStr">
        <is>
          <t>kg garment</t>
        </is>
      </c>
    </row>
    <row r="72">
      <c r="A72" s="2" t="n"/>
      <c r="B72" s="2" t="n"/>
    </row>
    <row r="73">
      <c r="A73" s="14" t="inlineStr">
        <is>
          <t>Exchanges</t>
        </is>
      </c>
      <c r="B73" s="12" t="n"/>
      <c r="C73" s="12" t="n"/>
      <c r="D73" s="12" t="n"/>
      <c r="E73" s="12" t="n"/>
    </row>
    <row r="74">
      <c r="A74" s="15" t="inlineStr">
        <is>
          <t>name</t>
        </is>
      </c>
      <c r="B74" s="15" t="inlineStr">
        <is>
          <t>amount</t>
        </is>
      </c>
      <c r="C74" s="15" t="inlineStr">
        <is>
          <t>location</t>
        </is>
      </c>
      <c r="D74" s="15" t="inlineStr">
        <is>
          <t>unit</t>
        </is>
      </c>
      <c r="E74" s="15" t="inlineStr">
        <is>
          <t>type</t>
        </is>
      </c>
      <c r="F74" s="7" t="inlineStr">
        <is>
          <t>comment</t>
        </is>
      </c>
    </row>
    <row r="75">
      <c r="A75" t="inlineStr">
        <is>
          <t>washing, dry cleaning</t>
        </is>
      </c>
      <c r="B75" t="n">
        <v>1</v>
      </c>
      <c r="C75" t="inlineStr">
        <is>
          <t>GLO</t>
        </is>
      </c>
      <c r="D75" s="12" t="inlineStr">
        <is>
          <t>kg garment</t>
        </is>
      </c>
      <c r="E75" t="inlineStr">
        <is>
          <t>production</t>
        </is>
      </c>
      <c r="F75" s="26" t="inlineStr">
        <is>
          <t>-</t>
        </is>
      </c>
    </row>
    <row r="76">
      <c r="A76" t="inlineStr">
        <is>
          <t>market for hazardous waste, for incineration</t>
        </is>
      </c>
      <c r="B76" t="n">
        <v>0.03070000000000001</v>
      </c>
      <c r="C76" t="inlineStr">
        <is>
          <t>Europe without Switzerland</t>
        </is>
      </c>
      <c r="D76" t="inlineStr">
        <is>
          <t>kilogram</t>
        </is>
      </c>
      <c r="E76" t="inlineStr">
        <is>
          <t>technosphere</t>
        </is>
      </c>
      <c r="F76" s="21" t="inlineStr">
        <is>
          <t>From original dataset; hazardous waste amount corresponds to the assumed 100% disposal of used PERC.</t>
        </is>
      </c>
    </row>
    <row r="77">
      <c r="A77" t="inlineStr">
        <is>
          <t>market group for electricity, medium voltage</t>
        </is>
      </c>
      <c r="B77" t="n">
        <v>0.5860000000000001</v>
      </c>
      <c r="C77" t="inlineStr">
        <is>
          <t>Europe without Switzerland</t>
        </is>
      </c>
      <c r="D77" t="inlineStr">
        <is>
          <t>kilowatt hour</t>
        </is>
      </c>
      <c r="E77" t="inlineStr">
        <is>
          <t>technosphere</t>
        </is>
      </c>
      <c r="F77" s="21" t="inlineStr">
        <is>
          <t>From original dataset; electricity demand based on values reported by Laitala et al. (2018).</t>
        </is>
      </c>
    </row>
    <row r="78">
      <c r="A78" t="inlineStr">
        <is>
          <t>tetrachloroethylene production</t>
        </is>
      </c>
      <c r="B78" t="n">
        <v>0.03070000000000001</v>
      </c>
      <c r="C78" t="inlineStr">
        <is>
          <t>RoW</t>
        </is>
      </c>
      <c r="D78" t="inlineStr">
        <is>
          <t>kilogram</t>
        </is>
      </c>
      <c r="E78" t="inlineStr">
        <is>
          <t>technosphere</t>
        </is>
      </c>
      <c r="F78" s="21" t="inlineStr">
        <is>
          <t>From original dataset; PERC input based on average use rates reported by Keoleian et al. (1997).</t>
        </is>
      </c>
    </row>
    <row r="80">
      <c r="A80" s="1" t="n"/>
      <c r="B80" s="1" t="n"/>
      <c r="C80" s="1" t="n"/>
      <c r="D80" s="1" t="n"/>
      <c r="E80" s="1" t="n"/>
      <c r="F80" s="1" t="n"/>
      <c r="G80" s="1" t="n"/>
    </row>
    <row r="82">
      <c r="A82" s="2" t="inlineStr">
        <is>
          <t>Activity</t>
        </is>
      </c>
      <c r="B82" s="2" t="inlineStr">
        <is>
          <t>powder detergent</t>
        </is>
      </c>
    </row>
    <row r="83">
      <c r="A83" t="inlineStr">
        <is>
          <t>comment</t>
        </is>
      </c>
      <c r="B83" s="13" t="inlineStr">
        <is>
          <t>Models the production of 1 kg of powder detergent, including ingredients, process energy, and packaging. Packaging disposal is not included.</t>
        </is>
      </c>
    </row>
    <row r="84">
      <c r="A84" t="inlineStr">
        <is>
          <t>location</t>
        </is>
      </c>
      <c r="B84" t="inlineStr">
        <is>
          <t>GLO</t>
        </is>
      </c>
    </row>
    <row r="85">
      <c r="A85" t="inlineStr">
        <is>
          <t>production amount</t>
        </is>
      </c>
      <c r="B85" t="n">
        <v>1</v>
      </c>
    </row>
    <row r="86">
      <c r="A86" t="inlineStr">
        <is>
          <t>reference product</t>
        </is>
      </c>
      <c r="B86" t="inlineStr">
        <is>
          <t>powder detergent</t>
        </is>
      </c>
    </row>
    <row r="87">
      <c r="A87" t="inlineStr">
        <is>
          <t>unit</t>
        </is>
      </c>
      <c r="B87" t="inlineStr">
        <is>
          <t>kg</t>
        </is>
      </c>
    </row>
    <row r="89">
      <c r="A89" s="2" t="inlineStr">
        <is>
          <t>Exchanges</t>
        </is>
      </c>
      <c r="B89" s="25" t="n"/>
    </row>
    <row r="90">
      <c r="A90" s="20" t="inlineStr">
        <is>
          <t>name</t>
        </is>
      </c>
      <c r="B90" s="20" t="inlineStr">
        <is>
          <t>amount</t>
        </is>
      </c>
      <c r="C90" s="20" t="inlineStr">
        <is>
          <t>database</t>
        </is>
      </c>
      <c r="D90" s="20" t="inlineStr">
        <is>
          <t>location</t>
        </is>
      </c>
      <c r="E90" s="20" t="inlineStr">
        <is>
          <t>unit</t>
        </is>
      </c>
      <c r="F90" s="20" t="inlineStr">
        <is>
          <t>categories</t>
        </is>
      </c>
      <c r="G90" s="20" t="inlineStr">
        <is>
          <t>type</t>
        </is>
      </c>
      <c r="H90" s="20" t="inlineStr">
        <is>
          <t>comment</t>
        </is>
      </c>
    </row>
    <row r="91">
      <c r="A91" t="inlineStr">
        <is>
          <t>BOD5, Biological Oxygen Demand</t>
        </is>
      </c>
      <c r="B91" t="n">
        <v>4.9e-05</v>
      </c>
      <c r="E91" t="inlineStr">
        <is>
          <t>kilogram</t>
        </is>
      </c>
      <c r="F91" t="inlineStr">
        <is>
          <t>water</t>
        </is>
      </c>
      <c r="G91" t="inlineStr">
        <is>
          <t>biosphere</t>
        </is>
      </c>
      <c r="H91" s="21" t="inlineStr">
        <is>
          <t>From original dataset</t>
        </is>
      </c>
    </row>
    <row r="92">
      <c r="A92" t="inlineStr">
        <is>
          <t>COD, Chemical Oxygen Demand</t>
        </is>
      </c>
      <c r="B92" t="n">
        <v>0.000101</v>
      </c>
      <c r="E92" t="inlineStr">
        <is>
          <t>kilogram</t>
        </is>
      </c>
      <c r="F92" t="inlineStr">
        <is>
          <t>water</t>
        </is>
      </c>
      <c r="G92" t="inlineStr">
        <is>
          <t>biosphere</t>
        </is>
      </c>
      <c r="H92" s="21" t="inlineStr">
        <is>
          <t>From original dataset</t>
        </is>
      </c>
    </row>
    <row r="93">
      <c r="A93" t="inlineStr">
        <is>
          <t>Carbon dioxide, fossil</t>
        </is>
      </c>
      <c r="B93" t="n">
        <v>0.133</v>
      </c>
      <c r="E93" t="inlineStr">
        <is>
          <t>kilogram</t>
        </is>
      </c>
      <c r="F93" t="inlineStr">
        <is>
          <t>air</t>
        </is>
      </c>
      <c r="G93" t="inlineStr">
        <is>
          <t>biosphere</t>
        </is>
      </c>
      <c r="H93" s="21" t="inlineStr">
        <is>
          <t>From original dataset</t>
        </is>
      </c>
    </row>
    <row r="94">
      <c r="A94" t="inlineStr">
        <is>
          <t>Carbon monoxide, fossil</t>
        </is>
      </c>
      <c r="B94" t="n">
        <v>6e-05</v>
      </c>
      <c r="E94" t="inlineStr">
        <is>
          <t>kilogram</t>
        </is>
      </c>
      <c r="F94" t="inlineStr">
        <is>
          <t>air</t>
        </is>
      </c>
      <c r="G94" t="inlineStr">
        <is>
          <t>biosphere</t>
        </is>
      </c>
      <c r="H94" s="21" t="inlineStr">
        <is>
          <t>From original dataset</t>
        </is>
      </c>
    </row>
    <row r="95">
      <c r="A95" t="inlineStr">
        <is>
          <t>Nitrogen oxides</t>
        </is>
      </c>
      <c r="B95" t="n">
        <v>0.000329</v>
      </c>
      <c r="E95" t="inlineStr">
        <is>
          <t>kilogram</t>
        </is>
      </c>
      <c r="F95" t="inlineStr">
        <is>
          <t>air</t>
        </is>
      </c>
      <c r="G95" t="inlineStr">
        <is>
          <t>biosphere</t>
        </is>
      </c>
      <c r="H95" s="21" t="inlineStr">
        <is>
          <t>From original dataset</t>
        </is>
      </c>
    </row>
    <row r="96">
      <c r="A96" t="inlineStr">
        <is>
          <t>Sulfur dioxide</t>
        </is>
      </c>
      <c r="B96" t="n">
        <v>0.000696</v>
      </c>
      <c r="E96" t="inlineStr">
        <is>
          <t>kilogram</t>
        </is>
      </c>
      <c r="F96" t="inlineStr">
        <is>
          <t>air</t>
        </is>
      </c>
      <c r="G96" t="inlineStr">
        <is>
          <t>biosphere</t>
        </is>
      </c>
      <c r="H96" s="21" t="inlineStr">
        <is>
          <t>From original dataset</t>
        </is>
      </c>
    </row>
    <row r="97">
      <c r="A97" t="inlineStr">
        <is>
          <t>powder detergent</t>
        </is>
      </c>
      <c r="B97" t="n">
        <v>1</v>
      </c>
      <c r="C97" s="24" t="n"/>
      <c r="D97" s="24" t="inlineStr">
        <is>
          <t>GLO</t>
        </is>
      </c>
      <c r="E97" s="24" t="inlineStr">
        <is>
          <t>kg</t>
        </is>
      </c>
      <c r="F97" s="24" t="n"/>
      <c r="G97" t="inlineStr">
        <is>
          <t>production</t>
        </is>
      </c>
      <c r="H97" s="26" t="inlineStr">
        <is>
          <t>-</t>
        </is>
      </c>
    </row>
    <row r="98">
      <c r="A98" t="inlineStr">
        <is>
          <t>market for citric acid</t>
        </is>
      </c>
      <c r="B98" t="n">
        <v>0.052</v>
      </c>
      <c r="C98" s="24" t="n"/>
      <c r="D98" s="24" t="inlineStr">
        <is>
          <t>GLO</t>
        </is>
      </c>
      <c r="E98" s="24" t="inlineStr">
        <is>
          <t>kilogram</t>
        </is>
      </c>
      <c r="F98" s="24" t="n"/>
      <c r="G98" t="inlineStr">
        <is>
          <t>technosphere</t>
        </is>
      </c>
      <c r="H98" s="21" t="inlineStr">
        <is>
          <t>From original dataset; detergent ingredient Citric acid</t>
        </is>
      </c>
    </row>
    <row r="99">
      <c r="A99" t="inlineStr">
        <is>
          <t>market for corrugated board box</t>
        </is>
      </c>
      <c r="B99" t="n">
        <v>0.1082</v>
      </c>
      <c r="C99" s="24" t="n"/>
      <c r="D99" s="24" t="inlineStr">
        <is>
          <t>RER</t>
        </is>
      </c>
      <c r="E99" s="24" t="inlineStr">
        <is>
          <t>kilogram</t>
        </is>
      </c>
      <c r="F99" s="24" t="n"/>
      <c r="G99" t="inlineStr">
        <is>
          <t>technosphere</t>
        </is>
      </c>
      <c r="H99" s="21" t="inlineStr">
        <is>
          <t>From original dataset; packaging material, Corrugated cardboard</t>
        </is>
      </c>
    </row>
    <row r="100">
      <c r="A100" t="inlineStr">
        <is>
          <t>market for ethoxylated alcohol (AE11)</t>
        </is>
      </c>
      <c r="B100" t="n">
        <v>0.02</v>
      </c>
      <c r="C100" s="24" t="n"/>
      <c r="D100" s="24" t="inlineStr">
        <is>
          <t>GLO</t>
        </is>
      </c>
      <c r="E100" s="24" t="inlineStr">
        <is>
          <t>kilogram</t>
        </is>
      </c>
      <c r="F100" s="24" t="n"/>
      <c r="G100" t="inlineStr">
        <is>
          <t>technosphere</t>
        </is>
      </c>
      <c r="H100" s="21" t="inlineStr">
        <is>
          <t>From original dataset; detergent ingredient AE11-PO</t>
        </is>
      </c>
    </row>
    <row r="101">
      <c r="A101" t="inlineStr">
        <is>
          <t>market for ethoxylated alcohol (AE7)</t>
        </is>
      </c>
      <c r="B101" t="n">
        <v>0.118</v>
      </c>
      <c r="C101" s="24" t="n"/>
      <c r="D101" s="24" t="inlineStr">
        <is>
          <t>RER</t>
        </is>
      </c>
      <c r="E101" s="24" t="inlineStr">
        <is>
          <t>kilogram</t>
        </is>
      </c>
      <c r="F101" s="24" t="n"/>
      <c r="G101" t="inlineStr">
        <is>
          <t>technosphere</t>
        </is>
      </c>
      <c r="H101" s="21" t="inlineStr">
        <is>
          <t>From original dataset; detergent ingredient LAS-pc and AE7-pc</t>
        </is>
      </c>
    </row>
    <row r="102">
      <c r="A102" t="inlineStr">
        <is>
          <t>market for kraft paper</t>
        </is>
      </c>
      <c r="B102" t="n">
        <v>0.0217</v>
      </c>
      <c r="C102" s="24" t="n"/>
      <c r="D102" s="24" t="inlineStr">
        <is>
          <t>RER</t>
        </is>
      </c>
      <c r="E102" s="24" t="inlineStr">
        <is>
          <t>kilogram</t>
        </is>
      </c>
      <c r="F102" s="24" t="n"/>
      <c r="G102" t="inlineStr">
        <is>
          <t>technosphere</t>
        </is>
      </c>
      <c r="H102" s="21" t="inlineStr">
        <is>
          <t>From original dataset; packaging material, Paper woody U B250 (1998)</t>
        </is>
      </c>
    </row>
    <row r="103">
      <c r="A103" t="inlineStr">
        <is>
          <t>market for layered sodium silicate, SKS-6, powder</t>
        </is>
      </c>
      <c r="B103" t="n">
        <v>0.03</v>
      </c>
      <c r="C103" s="24" t="n"/>
      <c r="D103" s="24" t="inlineStr">
        <is>
          <t>GLO</t>
        </is>
      </c>
      <c r="E103" s="24" t="inlineStr">
        <is>
          <t>kilogram</t>
        </is>
      </c>
      <c r="F103" s="24" t="n"/>
      <c r="G103" t="inlineStr">
        <is>
          <t>technosphere</t>
        </is>
      </c>
      <c r="H103" s="21" t="inlineStr">
        <is>
          <t>From original dataset; detergent ingredient Na-Silicate powder</t>
        </is>
      </c>
    </row>
    <row r="104">
      <c r="A104" t="inlineStr">
        <is>
          <t>market for soda ash, dense</t>
        </is>
      </c>
      <c r="B104" t="n">
        <v>0.17</v>
      </c>
      <c r="C104" s="24" t="n"/>
      <c r="D104" s="24" t="inlineStr">
        <is>
          <t>GLO</t>
        </is>
      </c>
      <c r="E104" s="24" t="inlineStr">
        <is>
          <t>kilogram</t>
        </is>
      </c>
      <c r="F104" s="24" t="n"/>
      <c r="G104" t="inlineStr">
        <is>
          <t>technosphere</t>
        </is>
      </c>
      <c r="H104" s="21" t="inlineStr">
        <is>
          <t>From original dataset; detergent ingredient Sodium carbonate</t>
        </is>
      </c>
    </row>
    <row r="105">
      <c r="A105" t="inlineStr">
        <is>
          <t>market for sodium perborate, monohydrate, powder</t>
        </is>
      </c>
      <c r="B105" t="n">
        <v>0.08699999999999999</v>
      </c>
      <c r="C105" s="24" t="n"/>
      <c r="D105" s="24" t="inlineStr">
        <is>
          <t>GLO</t>
        </is>
      </c>
      <c r="E105" s="24" t="inlineStr">
        <is>
          <t>kilogram</t>
        </is>
      </c>
      <c r="F105" s="24" t="n"/>
      <c r="G105" t="inlineStr">
        <is>
          <t>technosphere</t>
        </is>
      </c>
      <c r="H105" s="21" t="inlineStr">
        <is>
          <t>From original dataset; detergent ingredient Perborate monohydrate</t>
        </is>
      </c>
    </row>
    <row r="106">
      <c r="A106" t="inlineStr">
        <is>
          <t>market for sodium perborate, tetrahydrate, powder</t>
        </is>
      </c>
      <c r="B106" t="n">
        <v>0.115</v>
      </c>
      <c r="C106" s="24" t="n"/>
      <c r="D106" s="24" t="inlineStr">
        <is>
          <t>RER</t>
        </is>
      </c>
      <c r="E106" s="24" t="inlineStr">
        <is>
          <t>kilogram</t>
        </is>
      </c>
      <c r="F106" s="24" t="n"/>
      <c r="G106" t="inlineStr">
        <is>
          <t>technosphere</t>
        </is>
      </c>
      <c r="H106" s="21" t="inlineStr">
        <is>
          <t>From original dataset; detergent ingredient Perborate tetrahydrate</t>
        </is>
      </c>
    </row>
    <row r="107">
      <c r="A107" t="inlineStr">
        <is>
          <t>market for sodium sulfate, anhydrite</t>
        </is>
      </c>
      <c r="B107" t="n">
        <v>0.004</v>
      </c>
      <c r="C107" s="24" t="n"/>
      <c r="D107" s="24" t="inlineStr">
        <is>
          <t>RER</t>
        </is>
      </c>
      <c r="E107" s="24" t="inlineStr">
        <is>
          <t>kilogram</t>
        </is>
      </c>
      <c r="F107" s="24" t="n"/>
      <c r="G107" t="inlineStr">
        <is>
          <t>technosphere</t>
        </is>
      </c>
      <c r="H107" s="21" t="inlineStr">
        <is>
          <t>From original dataset; detergent ingredient Sodium sulfate</t>
        </is>
      </c>
    </row>
    <row r="108">
      <c r="A108" t="inlineStr">
        <is>
          <t>market for water, completely softened</t>
        </is>
      </c>
      <c r="B108" t="n">
        <v>0.142</v>
      </c>
      <c r="C108" s="24" t="n"/>
      <c r="D108" s="24" t="inlineStr">
        <is>
          <t>RER</t>
        </is>
      </c>
      <c r="E108" s="24" t="inlineStr">
        <is>
          <t>kilogram</t>
        </is>
      </c>
      <c r="F108" s="24" t="n"/>
      <c r="G108" t="inlineStr">
        <is>
          <t>technosphere</t>
        </is>
      </c>
      <c r="H108" s="21" t="inlineStr">
        <is>
          <t>From original dataset; detergent ingredient Water</t>
        </is>
      </c>
    </row>
    <row r="109">
      <c r="A109" t="inlineStr">
        <is>
          <t>market for zeolite, powder</t>
        </is>
      </c>
      <c r="B109" t="n">
        <v>0.201</v>
      </c>
      <c r="C109" s="24" t="n"/>
      <c r="D109" s="24" t="inlineStr">
        <is>
          <t>GLO</t>
        </is>
      </c>
      <c r="E109" s="24" t="inlineStr">
        <is>
          <t>kilogram</t>
        </is>
      </c>
      <c r="F109" s="24" t="n"/>
      <c r="G109" t="inlineStr">
        <is>
          <t>technosphere</t>
        </is>
      </c>
      <c r="H109" s="21" t="inlineStr">
        <is>
          <t>From original dataset; detergent ingredient Zeolite</t>
        </is>
      </c>
    </row>
    <row r="110">
      <c r="A110" t="inlineStr">
        <is>
          <t>market group for electricity, medium voltage</t>
        </is>
      </c>
      <c r="B110" t="n">
        <v>0.6899999999999999</v>
      </c>
      <c r="C110" s="24" t="n"/>
      <c r="D110" s="24" t="inlineStr">
        <is>
          <t>RER</t>
        </is>
      </c>
      <c r="E110" s="24" t="inlineStr">
        <is>
          <t>kilowatt hour</t>
        </is>
      </c>
      <c r="F110" s="24" t="n"/>
      <c r="G110" t="inlineStr">
        <is>
          <t>technosphere</t>
        </is>
      </c>
      <c r="H110" s="21" t="inlineStr">
        <is>
          <t>From original dataset; electricity use</t>
        </is>
      </c>
    </row>
    <row r="111">
      <c r="A111" t="inlineStr">
        <is>
          <t>polyethylene production, high density, granulate</t>
        </is>
      </c>
      <c r="B111" t="n">
        <v>0.0081</v>
      </c>
      <c r="C111" s="24" t="n"/>
      <c r="D111" s="24" t="inlineStr">
        <is>
          <t>RER</t>
        </is>
      </c>
      <c r="E111" s="24" t="inlineStr">
        <is>
          <t>kilogram</t>
        </is>
      </c>
      <c r="F111" s="24" t="n"/>
      <c r="G111" t="inlineStr">
        <is>
          <t>technosphere</t>
        </is>
      </c>
      <c r="H111" s="21" t="inlineStr">
        <is>
          <t>From original dataset; packaging material, HDPE B250 (barrier)</t>
        </is>
      </c>
    </row>
    <row r="114">
      <c r="A114" s="1" t="n"/>
      <c r="B114" s="1" t="n"/>
      <c r="C114" s="1" t="n"/>
      <c r="D114" s="1" t="n"/>
      <c r="E114" s="1" t="n"/>
      <c r="F114" s="1" t="n"/>
      <c r="G114" s="1" t="n"/>
    </row>
    <row r="116">
      <c r="A116" s="2" t="inlineStr">
        <is>
          <t>Activity</t>
        </is>
      </c>
      <c r="B116" s="2" t="inlineStr">
        <is>
          <t>liquid detergent</t>
        </is>
      </c>
    </row>
    <row r="117">
      <c r="A117" t="inlineStr">
        <is>
          <t>comment</t>
        </is>
      </c>
      <c r="B117" s="13" t="inlineStr">
        <is>
          <t>Models the production of 1 kg of liquid detergent, including ingredients, process energy, and packaging. Packaging disposal is not included.</t>
        </is>
      </c>
    </row>
    <row r="118">
      <c r="A118" t="inlineStr">
        <is>
          <t>location</t>
        </is>
      </c>
      <c r="B118" t="inlineStr">
        <is>
          <t>GLO</t>
        </is>
      </c>
    </row>
    <row r="119">
      <c r="A119" t="inlineStr">
        <is>
          <t>production amount</t>
        </is>
      </c>
      <c r="B119" t="n">
        <v>1</v>
      </c>
    </row>
    <row r="120">
      <c r="A120" t="inlineStr">
        <is>
          <t>reference product</t>
        </is>
      </c>
      <c r="B120" t="inlineStr">
        <is>
          <t>liquid detergent</t>
        </is>
      </c>
    </row>
    <row r="121">
      <c r="A121" t="inlineStr">
        <is>
          <t>unit</t>
        </is>
      </c>
      <c r="B121" t="inlineStr">
        <is>
          <t>kg</t>
        </is>
      </c>
    </row>
    <row r="123">
      <c r="A123" s="2" t="inlineStr">
        <is>
          <t>Exchanges</t>
        </is>
      </c>
      <c r="B123" s="16" t="n"/>
    </row>
    <row r="124">
      <c r="A124" s="20" t="inlineStr">
        <is>
          <t>name</t>
        </is>
      </c>
      <c r="B124" s="20" t="inlineStr">
        <is>
          <t>amount</t>
        </is>
      </c>
      <c r="C124" s="20" t="inlineStr">
        <is>
          <t>location</t>
        </is>
      </c>
      <c r="D124" s="20" t="inlineStr">
        <is>
          <t>unit</t>
        </is>
      </c>
      <c r="E124" s="20" t="inlineStr">
        <is>
          <t>type</t>
        </is>
      </c>
      <c r="F124" s="20" t="inlineStr">
        <is>
          <t>comment</t>
        </is>
      </c>
    </row>
    <row r="125">
      <c r="A125" t="inlineStr">
        <is>
          <t>liquid detergent</t>
        </is>
      </c>
      <c r="B125" t="n">
        <v>1</v>
      </c>
      <c r="C125" t="inlineStr">
        <is>
          <t>GLO</t>
        </is>
      </c>
      <c r="D125" t="inlineStr">
        <is>
          <t>kg</t>
        </is>
      </c>
      <c r="E125" t="inlineStr">
        <is>
          <t>production</t>
        </is>
      </c>
      <c r="F125" s="22" t="inlineStr">
        <is>
          <t>-</t>
        </is>
      </c>
    </row>
    <row r="126">
      <c r="A126" t="inlineStr">
        <is>
          <t>market for citric acid</t>
        </is>
      </c>
      <c r="B126" t="n">
        <v>0.0228</v>
      </c>
      <c r="C126" t="inlineStr">
        <is>
          <t>GLO</t>
        </is>
      </c>
      <c r="D126" t="inlineStr">
        <is>
          <t>kilogram</t>
        </is>
      </c>
      <c r="E126" t="inlineStr">
        <is>
          <t>technosphere</t>
        </is>
      </c>
      <c r="F126" s="21" t="inlineStr">
        <is>
          <t>From original dataset; detergent ingredient Citric acid</t>
        </is>
      </c>
    </row>
    <row r="127">
      <c r="A127" t="inlineStr">
        <is>
          <t>enzymes production</t>
        </is>
      </c>
      <c r="B127" t="n">
        <v>0.0058</v>
      </c>
      <c r="C127" t="inlineStr">
        <is>
          <t>RER</t>
        </is>
      </c>
      <c r="D127" t="inlineStr">
        <is>
          <t>kilogram</t>
        </is>
      </c>
      <c r="E127" t="inlineStr">
        <is>
          <t>technosphere</t>
        </is>
      </c>
      <c r="F127" s="21" t="inlineStr">
        <is>
          <t>From original dataset; detergent ingredient Enzymes</t>
        </is>
      </c>
    </row>
    <row r="128">
      <c r="A128" t="inlineStr">
        <is>
          <t>market for alkyl sulfate (C12-14)</t>
        </is>
      </c>
      <c r="B128" t="n">
        <v>0.1038</v>
      </c>
      <c r="C128" t="inlineStr">
        <is>
          <t>GLO</t>
        </is>
      </c>
      <c r="D128" t="inlineStr">
        <is>
          <t>kilogram</t>
        </is>
      </c>
      <c r="E128" t="inlineStr">
        <is>
          <t>technosphere</t>
        </is>
      </c>
      <c r="F128" s="21" t="inlineStr">
        <is>
          <t>From original dataset; detergent ingredient Alkyl sulphate</t>
        </is>
      </c>
    </row>
    <row r="129">
      <c r="A129" t="inlineStr">
        <is>
          <t>market for glycerine</t>
        </is>
      </c>
      <c r="B129" t="n">
        <v>0.0285</v>
      </c>
      <c r="C129" t="inlineStr">
        <is>
          <t>RER</t>
        </is>
      </c>
      <c r="D129" t="inlineStr">
        <is>
          <t>kilogram</t>
        </is>
      </c>
      <c r="E129" t="inlineStr">
        <is>
          <t>technosphere</t>
        </is>
      </c>
      <c r="F129" s="21" t="inlineStr">
        <is>
          <t>From original dataset; detergent ingredient Glycerine</t>
        </is>
      </c>
    </row>
    <row r="130">
      <c r="A130" t="inlineStr">
        <is>
          <t>market for non-ionic surfactant</t>
        </is>
      </c>
      <c r="B130" t="n">
        <v>0.0591</v>
      </c>
      <c r="C130" t="inlineStr">
        <is>
          <t>GLO</t>
        </is>
      </c>
      <c r="D130" t="inlineStr">
        <is>
          <t>kilogram</t>
        </is>
      </c>
      <c r="E130" t="inlineStr">
        <is>
          <t>technosphere</t>
        </is>
      </c>
      <c r="F130" s="21" t="inlineStr">
        <is>
          <t>From original dataset; detergent ingredient Non-ionic surfactant</t>
        </is>
      </c>
    </row>
    <row r="131">
      <c r="A131" t="inlineStr">
        <is>
          <t>market for polyethylene, high density, granulate</t>
        </is>
      </c>
      <c r="B131" t="n">
        <v>0.0466</v>
      </c>
      <c r="C131" t="inlineStr">
        <is>
          <t>RER</t>
        </is>
      </c>
      <c r="D131" t="inlineStr">
        <is>
          <t>kilogram</t>
        </is>
      </c>
      <c r="E131" t="inlineStr">
        <is>
          <t>technosphere</t>
        </is>
      </c>
      <c r="F131" s="21" t="inlineStr">
        <is>
          <t>From original dataset; packaging material, HDPE bottle</t>
        </is>
      </c>
    </row>
    <row r="132">
      <c r="A132" t="inlineStr">
        <is>
          <t>market for polyethylene, linear low density, granulate</t>
        </is>
      </c>
      <c r="B132" t="n">
        <v>0.0466</v>
      </c>
      <c r="C132" t="inlineStr">
        <is>
          <t>GLO</t>
        </is>
      </c>
      <c r="D132" t="inlineStr">
        <is>
          <t>kilogram</t>
        </is>
      </c>
      <c r="E132" t="inlineStr">
        <is>
          <t>technosphere</t>
        </is>
      </c>
      <c r="F132" s="21" t="inlineStr">
        <is>
          <t>From original dataset; detergent ingredient Polyethylene</t>
        </is>
      </c>
    </row>
    <row r="133">
      <c r="A133" t="inlineStr">
        <is>
          <t>market for polypropylene, granulate</t>
        </is>
      </c>
      <c r="B133" t="n">
        <v>0.0101</v>
      </c>
      <c r="C133" t="inlineStr">
        <is>
          <t>RER</t>
        </is>
      </c>
      <c r="D133" t="inlineStr">
        <is>
          <t>kilogram</t>
        </is>
      </c>
      <c r="E133" t="inlineStr">
        <is>
          <t>technosphere</t>
        </is>
      </c>
      <c r="F133" s="21" t="inlineStr">
        <is>
          <t>From original dataset; packaging material, PP cork</t>
        </is>
      </c>
    </row>
    <row r="134">
      <c r="A134" t="inlineStr">
        <is>
          <t>market for printed paper</t>
        </is>
      </c>
      <c r="B134" t="n">
        <v>0.00126</v>
      </c>
      <c r="C134" t="inlineStr">
        <is>
          <t>GLO</t>
        </is>
      </c>
      <c r="D134" t="inlineStr">
        <is>
          <t>kilogram</t>
        </is>
      </c>
      <c r="E134" t="inlineStr">
        <is>
          <t>technosphere</t>
        </is>
      </c>
      <c r="F134" s="21" t="inlineStr">
        <is>
          <t>From original dataset; packaging material, Label</t>
        </is>
      </c>
    </row>
    <row r="135">
      <c r="A135" t="inlineStr">
        <is>
          <t>market for sodium hydroxide, without water, in 50% solution state</t>
        </is>
      </c>
      <c r="B135" t="n">
        <v>0.0231</v>
      </c>
      <c r="C135" t="inlineStr">
        <is>
          <t>RER</t>
        </is>
      </c>
      <c r="D135" t="inlineStr">
        <is>
          <t>kilogram</t>
        </is>
      </c>
      <c r="E135" t="inlineStr">
        <is>
          <t>technosphere</t>
        </is>
      </c>
      <c r="F135" s="21" t="inlineStr">
        <is>
          <t>From original dataset; detergent ingredient Sodium hydroxide</t>
        </is>
      </c>
    </row>
    <row r="136">
      <c r="A136" t="inlineStr">
        <is>
          <t>market for water, deionised</t>
        </is>
      </c>
      <c r="B136" t="n">
        <v>0.7022</v>
      </c>
      <c r="C136" t="inlineStr">
        <is>
          <t>Europe without Switzerland</t>
        </is>
      </c>
      <c r="D136" t="inlineStr">
        <is>
          <t>kilogram</t>
        </is>
      </c>
      <c r="E136" t="inlineStr">
        <is>
          <t>technosphere</t>
        </is>
      </c>
      <c r="F136" s="21" t="inlineStr">
        <is>
          <t>From original dataset; detergent ingredient Water</t>
        </is>
      </c>
    </row>
    <row r="137">
      <c r="A137" t="inlineStr">
        <is>
          <t>market group for electricity, medium voltage</t>
        </is>
      </c>
      <c r="B137" t="n">
        <v>0.25</v>
      </c>
      <c r="C137" t="inlineStr">
        <is>
          <t>RER</t>
        </is>
      </c>
      <c r="D137" t="inlineStr">
        <is>
          <t>kilowatt hour</t>
        </is>
      </c>
      <c r="E137" t="inlineStr">
        <is>
          <t>technosphere</t>
        </is>
      </c>
      <c r="F137" s="21" t="inlineStr">
        <is>
          <t xml:space="preserve">From original dataset; electricity use </t>
        </is>
      </c>
    </row>
    <row r="138">
      <c r="A138" t="inlineStr">
        <is>
          <t>soap production</t>
        </is>
      </c>
      <c r="B138" t="n">
        <v>0.0241</v>
      </c>
      <c r="C138" t="inlineStr">
        <is>
          <t>RER</t>
        </is>
      </c>
      <c r="D138" t="inlineStr">
        <is>
          <t>kilogram</t>
        </is>
      </c>
      <c r="E138" t="inlineStr">
        <is>
          <t>technosphere</t>
        </is>
      </c>
      <c r="F138" s="21" t="inlineStr">
        <is>
          <t>From original dataset; detergent ingredient Soap</t>
        </is>
      </c>
    </row>
    <row r="140">
      <c r="A140" s="1" t="n"/>
      <c r="B140" s="1" t="n"/>
      <c r="C140" s="1" t="n"/>
      <c r="D140" s="1" t="n"/>
      <c r="E140" s="1" t="n"/>
      <c r="F140" s="1" t="n"/>
      <c r="G140" s="1" t="n"/>
    </row>
    <row r="142">
      <c r="A142" s="81" t="inlineStr">
        <is>
          <t>Activity</t>
        </is>
      </c>
      <c r="B142" s="2" t="inlineStr">
        <is>
          <t>washing, average, 30°, liquid detergent</t>
        </is>
      </c>
      <c r="C142" s="6" t="n"/>
      <c r="D142" s="6" t="n"/>
      <c r="E142" s="6" t="n"/>
    </row>
    <row r="143">
      <c r="A143" s="6" t="inlineStr">
        <is>
          <t>comment</t>
        </is>
      </c>
      <c r="B143" s="13" t="inlineStr">
        <is>
          <t xml:space="preserve">Machine washing garments at 30°C using liquid detergent. Includes environmental impacts from the washing machine's production, disposal, electricity and water use, as well as wasterwater and detergent use. Technical specifications are based on an AEG (LV7KR865E) washing machine. </t>
        </is>
      </c>
      <c r="C143" s="6" t="n"/>
      <c r="D143" s="6" t="n"/>
      <c r="E143" s="6" t="n"/>
    </row>
    <row r="144">
      <c r="A144" s="6" t="inlineStr">
        <is>
          <t>location</t>
        </is>
      </c>
      <c r="B144" s="6" t="inlineStr">
        <is>
          <t>GLO</t>
        </is>
      </c>
      <c r="C144" s="6" t="n"/>
      <c r="D144" s="6" t="n"/>
      <c r="E144" s="6" t="n"/>
    </row>
    <row r="145">
      <c r="A145" s="12" t="inlineStr">
        <is>
          <t>production amount</t>
        </is>
      </c>
      <c r="B145" s="12" t="n">
        <v>1</v>
      </c>
    </row>
    <row r="146">
      <c r="A146" s="6" t="inlineStr">
        <is>
          <t>reference product</t>
        </is>
      </c>
      <c r="B146" t="inlineStr">
        <is>
          <t>washing, average, 30°, liquid detergent</t>
        </is>
      </c>
      <c r="C146" s="6" t="n"/>
      <c r="D146" s="6" t="n"/>
      <c r="E146" s="6" t="n"/>
    </row>
    <row r="147">
      <c r="A147" s="12" t="inlineStr">
        <is>
          <t>unit</t>
        </is>
      </c>
      <c r="B147" s="12" t="inlineStr">
        <is>
          <t>kg garment</t>
        </is>
      </c>
      <c r="C147" s="6" t="n"/>
      <c r="D147" s="6" t="n"/>
      <c r="E147" s="6" t="n"/>
    </row>
    <row r="148">
      <c r="A148" s="6" t="n"/>
      <c r="B148" s="6" t="n"/>
      <c r="C148" s="6" t="n"/>
      <c r="D148" s="6" t="n"/>
      <c r="E148" s="6" t="n"/>
    </row>
    <row r="149">
      <c r="A149" s="14" t="inlineStr">
        <is>
          <t>Exchanges</t>
        </is>
      </c>
      <c r="B149" s="12" t="n"/>
      <c r="C149" s="12" t="n"/>
      <c r="D149" s="12" t="n"/>
      <c r="E149" s="12" t="n"/>
    </row>
    <row r="150">
      <c r="A150" s="15" t="inlineStr">
        <is>
          <t>name</t>
        </is>
      </c>
      <c r="B150" s="15" t="inlineStr">
        <is>
          <t>amount</t>
        </is>
      </c>
      <c r="C150" s="15" t="inlineStr">
        <is>
          <t>location</t>
        </is>
      </c>
      <c r="D150" s="15" t="inlineStr">
        <is>
          <t>unit</t>
        </is>
      </c>
      <c r="E150" s="15" t="inlineStr">
        <is>
          <t>type</t>
        </is>
      </c>
      <c r="F150" s="7" t="inlineStr">
        <is>
          <t>comment</t>
        </is>
      </c>
    </row>
    <row r="151">
      <c r="A151" t="inlineStr">
        <is>
          <t>washing, average, 30°, liquid detergent</t>
        </is>
      </c>
      <c r="B151" t="n">
        <v>1</v>
      </c>
      <c r="C151" t="inlineStr">
        <is>
          <t>GLO</t>
        </is>
      </c>
      <c r="D151" t="inlineStr">
        <is>
          <t>kg garment</t>
        </is>
      </c>
      <c r="E151" t="inlineStr">
        <is>
          <t>production</t>
        </is>
      </c>
      <c r="F151" t="inlineStr">
        <is>
          <t>-</t>
        </is>
      </c>
    </row>
    <row r="152">
      <c r="A152" t="inlineStr">
        <is>
          <t>liquid detergent</t>
        </is>
      </c>
      <c r="B152" t="n">
        <v>0.0169</v>
      </c>
      <c r="C152" t="inlineStr">
        <is>
          <t>GLO</t>
        </is>
      </c>
      <c r="D152" t="inlineStr">
        <is>
          <t>kg</t>
        </is>
      </c>
      <c r="E152" t="inlineStr">
        <is>
          <t>technosphere</t>
        </is>
      </c>
      <c r="F152" s="47" t="inlineStr">
        <is>
          <t>From activity: liquid detergent</t>
        </is>
      </c>
    </row>
    <row r="153">
      <c r="A153" t="inlineStr">
        <is>
          <t>market for tap water</t>
        </is>
      </c>
      <c r="B153" t="n">
        <v>37.3831775700934</v>
      </c>
      <c r="C153" t="inlineStr">
        <is>
          <t>Europe without Switzerland</t>
        </is>
      </c>
      <c r="D153" t="inlineStr">
        <is>
          <t>kilogram</t>
        </is>
      </c>
      <c r="E153" t="inlineStr">
        <is>
          <t>technosphere</t>
        </is>
      </c>
      <c r="F153" s="47" t="inlineStr">
        <is>
          <t xml:space="preserve">From original dataset; water use </t>
        </is>
      </c>
    </row>
    <row r="154">
      <c r="A154" t="inlineStr">
        <is>
          <t>market for washing machine</t>
        </is>
      </c>
      <c r="B154" s="28" t="n">
        <v>7.67813267813267e-05</v>
      </c>
      <c r="C154" t="inlineStr">
        <is>
          <t>GLO</t>
        </is>
      </c>
      <c r="D154" t="inlineStr">
        <is>
          <t>unit</t>
        </is>
      </c>
      <c r="E154" t="inlineStr">
        <is>
          <t>technosphere</t>
        </is>
      </c>
      <c r="F154" s="47" t="inlineStr">
        <is>
          <t>From original dataset; impact from washing machine</t>
        </is>
      </c>
    </row>
    <row r="155">
      <c r="A155" t="inlineStr">
        <is>
          <t>market for wastewater, average</t>
        </is>
      </c>
      <c r="B155" t="n">
        <v>0.0370831775700934</v>
      </c>
      <c r="C155" t="inlineStr">
        <is>
          <t>Europe without Switzerland</t>
        </is>
      </c>
      <c r="D155" t="inlineStr">
        <is>
          <t>cubic meter</t>
        </is>
      </c>
      <c r="E155" t="inlineStr">
        <is>
          <t>technosphere</t>
        </is>
      </c>
      <c r="F155" s="47" t="inlineStr">
        <is>
          <t>From original dataset; wastewater generation</t>
        </is>
      </c>
    </row>
    <row r="156">
      <c r="A156" t="inlineStr">
        <is>
          <t>market group for electricity, low voltage</t>
        </is>
      </c>
      <c r="B156" t="n">
        <v>0.1869158878504673</v>
      </c>
      <c r="C156" t="inlineStr">
        <is>
          <t>Europe without Switzerland</t>
        </is>
      </c>
      <c r="D156" t="inlineStr">
        <is>
          <t>kilowatt hour</t>
        </is>
      </c>
      <c r="E156" t="inlineStr">
        <is>
          <t>technosphere</t>
        </is>
      </c>
      <c r="F156" s="47" t="inlineStr">
        <is>
          <t>From original dataset; active electricity use</t>
        </is>
      </c>
    </row>
    <row r="157">
      <c r="A157" t="inlineStr">
        <is>
          <t>market group for electricity, low voltage</t>
        </is>
      </c>
      <c r="B157" t="n">
        <v>0.00185449938574938</v>
      </c>
      <c r="C157" t="inlineStr">
        <is>
          <t>Europe without Switzerland</t>
        </is>
      </c>
      <c r="D157" t="inlineStr">
        <is>
          <t>kilowatt hour</t>
        </is>
      </c>
      <c r="E157" t="inlineStr">
        <is>
          <t>technosphere</t>
        </is>
      </c>
      <c r="F157" s="47" t="inlineStr">
        <is>
          <t xml:space="preserve">From original dataset; passive electricity use </t>
        </is>
      </c>
    </row>
    <row r="159">
      <c r="A159" s="1" t="n"/>
      <c r="B159" s="1" t="n"/>
      <c r="C159" s="1" t="n"/>
      <c r="D159" s="1" t="n"/>
      <c r="E159" s="1" t="n"/>
      <c r="F159" s="1" t="n"/>
      <c r="G159" s="1" t="n"/>
    </row>
    <row r="161">
      <c r="A161" s="81" t="inlineStr">
        <is>
          <t>Activity</t>
        </is>
      </c>
      <c r="B161" s="2" t="inlineStr">
        <is>
          <t>washing, average, 30°, powder detergent</t>
        </is>
      </c>
      <c r="C161" s="6" t="n"/>
      <c r="D161" s="6" t="n"/>
      <c r="E161" s="6" t="n"/>
    </row>
    <row r="162">
      <c r="A162" s="6" t="inlineStr">
        <is>
          <t>comment</t>
        </is>
      </c>
      <c r="B162" s="13" t="inlineStr">
        <is>
          <t xml:space="preserve">Machine washing garments at 30°C using powder detergent. Includes environmental impacts from the washing machine's production, disposal, electricity and water use, as well as wasterwater and detergent use. Technical specifications are based on an AEG (LV7KR865E) washing machine. </t>
        </is>
      </c>
      <c r="C162" s="6" t="n"/>
      <c r="D162" s="6" t="n"/>
      <c r="E162" s="6" t="n"/>
    </row>
    <row r="163">
      <c r="A163" s="6" t="inlineStr">
        <is>
          <t>location</t>
        </is>
      </c>
      <c r="B163" s="6" t="inlineStr">
        <is>
          <t>GLO</t>
        </is>
      </c>
      <c r="C163" s="6" t="n"/>
      <c r="D163" s="6" t="n"/>
      <c r="E163" s="6" t="n"/>
    </row>
    <row r="164">
      <c r="A164" s="12" t="inlineStr">
        <is>
          <t>production amount</t>
        </is>
      </c>
      <c r="B164" s="12" t="n">
        <v>1</v>
      </c>
    </row>
    <row r="165">
      <c r="A165" s="6" t="inlineStr">
        <is>
          <t>reference product</t>
        </is>
      </c>
      <c r="B165" t="inlineStr">
        <is>
          <t>washing, average, 30°, powder detergent</t>
        </is>
      </c>
      <c r="C165" s="6" t="n"/>
      <c r="D165" s="6" t="n"/>
      <c r="E165" s="6" t="n"/>
    </row>
    <row r="166">
      <c r="A166" s="12" t="inlineStr">
        <is>
          <t>unit</t>
        </is>
      </c>
      <c r="B166" s="12" t="inlineStr">
        <is>
          <t>kg garment</t>
        </is>
      </c>
      <c r="C166" s="6" t="n"/>
      <c r="D166" s="6" t="n"/>
      <c r="E166" s="6" t="n"/>
    </row>
    <row r="167">
      <c r="A167" s="6" t="n"/>
      <c r="B167" s="6" t="n"/>
      <c r="C167" s="6" t="n"/>
      <c r="D167" s="6" t="n"/>
      <c r="E167" s="6" t="n"/>
    </row>
    <row r="168">
      <c r="A168" s="14" t="inlineStr">
        <is>
          <t>Exchanges</t>
        </is>
      </c>
      <c r="B168" s="12" t="n"/>
      <c r="C168" s="12" t="n"/>
      <c r="D168" s="12" t="n"/>
      <c r="E168" s="12" t="n"/>
    </row>
    <row r="169">
      <c r="A169" s="15" t="inlineStr">
        <is>
          <t>name</t>
        </is>
      </c>
      <c r="B169" s="15" t="inlineStr">
        <is>
          <t>amount</t>
        </is>
      </c>
      <c r="C169" s="15" t="inlineStr">
        <is>
          <t>location</t>
        </is>
      </c>
      <c r="D169" s="15" t="inlineStr">
        <is>
          <t>unit</t>
        </is>
      </c>
      <c r="E169" s="15" t="inlineStr">
        <is>
          <t>type</t>
        </is>
      </c>
      <c r="F169" s="7" t="inlineStr">
        <is>
          <t>comment</t>
        </is>
      </c>
    </row>
    <row r="170">
      <c r="A170" t="inlineStr">
        <is>
          <t>washing, average, 30°, powder detergent</t>
        </is>
      </c>
      <c r="B170" t="n">
        <v>1</v>
      </c>
      <c r="C170" t="inlineStr">
        <is>
          <t>GLO</t>
        </is>
      </c>
      <c r="D170" t="inlineStr">
        <is>
          <t>kg garment</t>
        </is>
      </c>
      <c r="E170" t="inlineStr">
        <is>
          <t>production</t>
        </is>
      </c>
      <c r="F170" t="inlineStr">
        <is>
          <t>-</t>
        </is>
      </c>
    </row>
    <row r="171">
      <c r="A171" t="inlineStr">
        <is>
          <t>market for tap water</t>
        </is>
      </c>
      <c r="B171" t="n">
        <v>37.3831775700934</v>
      </c>
      <c r="C171" t="inlineStr">
        <is>
          <t>Europe without Switzerland</t>
        </is>
      </c>
      <c r="D171" t="inlineStr">
        <is>
          <t>kilogram</t>
        </is>
      </c>
      <c r="E171" t="inlineStr">
        <is>
          <t>technosphere</t>
        </is>
      </c>
      <c r="F171" s="47" t="inlineStr">
        <is>
          <t xml:space="preserve">From original dataset; water use </t>
        </is>
      </c>
    </row>
    <row r="172">
      <c r="A172" t="inlineStr">
        <is>
          <t>market for washing machine</t>
        </is>
      </c>
      <c r="B172" s="28" t="n">
        <v>7.67813267813267e-05</v>
      </c>
      <c r="C172" t="inlineStr">
        <is>
          <t>GLO</t>
        </is>
      </c>
      <c r="D172" t="inlineStr">
        <is>
          <t>unit</t>
        </is>
      </c>
      <c r="E172" t="inlineStr">
        <is>
          <t>technosphere</t>
        </is>
      </c>
      <c r="F172" s="47" t="inlineStr">
        <is>
          <t>From original dataset; impact from washing machine</t>
        </is>
      </c>
    </row>
    <row r="173">
      <c r="A173" t="inlineStr">
        <is>
          <t>market for wastewater, average</t>
        </is>
      </c>
      <c r="B173" t="n">
        <v>0.03738287757009346</v>
      </c>
      <c r="C173" t="inlineStr">
        <is>
          <t>Europe without Switzerland</t>
        </is>
      </c>
      <c r="D173" t="inlineStr">
        <is>
          <t>cubic meter</t>
        </is>
      </c>
      <c r="E173" t="inlineStr">
        <is>
          <t>technosphere</t>
        </is>
      </c>
      <c r="F173" s="47" t="inlineStr">
        <is>
          <t>From original dataset; wastewater generation</t>
        </is>
      </c>
    </row>
    <row r="174">
      <c r="A174" t="inlineStr">
        <is>
          <t>market group for electricity, low voltage</t>
        </is>
      </c>
      <c r="B174" t="n">
        <v>0.1869158878504673</v>
      </c>
      <c r="C174" t="inlineStr">
        <is>
          <t>Europe without Switzerland</t>
        </is>
      </c>
      <c r="D174" t="inlineStr">
        <is>
          <t>kilowatt hour</t>
        </is>
      </c>
      <c r="E174" t="inlineStr">
        <is>
          <t>technosphere</t>
        </is>
      </c>
      <c r="F174" s="47" t="inlineStr">
        <is>
          <t>From original dataset; active electricity use</t>
        </is>
      </c>
    </row>
    <row r="175">
      <c r="A175" t="inlineStr">
        <is>
          <t>market group for electricity, low voltage</t>
        </is>
      </c>
      <c r="B175" t="n">
        <v>0.00185449938574938</v>
      </c>
      <c r="C175" t="inlineStr">
        <is>
          <t>Europe without Switzerland</t>
        </is>
      </c>
      <c r="D175" t="inlineStr">
        <is>
          <t>kilowatt hour</t>
        </is>
      </c>
      <c r="E175" t="inlineStr">
        <is>
          <t>technosphere</t>
        </is>
      </c>
      <c r="F175" s="47" t="inlineStr">
        <is>
          <t xml:space="preserve">From original dataset; passive electricity use </t>
        </is>
      </c>
    </row>
    <row r="176">
      <c r="A176" t="inlineStr">
        <is>
          <t>powder detergent</t>
        </is>
      </c>
      <c r="B176" t="n">
        <v>0.0196</v>
      </c>
      <c r="C176" t="inlineStr">
        <is>
          <t>GLO</t>
        </is>
      </c>
      <c r="D176" t="inlineStr">
        <is>
          <t>kg</t>
        </is>
      </c>
      <c r="E176" t="inlineStr">
        <is>
          <t>technosphere</t>
        </is>
      </c>
      <c r="F176" s="47" t="inlineStr">
        <is>
          <t>From activity: powder detergent</t>
        </is>
      </c>
    </row>
    <row r="178">
      <c r="A178" s="1" t="n"/>
      <c r="B178" s="1" t="n"/>
      <c r="C178" s="1" t="n"/>
      <c r="D178" s="1" t="n"/>
      <c r="E178" s="1" t="n"/>
      <c r="F178" s="1" t="n"/>
      <c r="G178" s="1" t="n"/>
    </row>
    <row r="180">
      <c r="A180" s="81" t="inlineStr">
        <is>
          <t>Activity</t>
        </is>
      </c>
      <c r="B180" s="2" t="inlineStr">
        <is>
          <t>washing, average, 40°, liquid detergent</t>
        </is>
      </c>
      <c r="C180" s="6" t="n"/>
      <c r="D180" s="6" t="n"/>
      <c r="E180" s="6" t="n"/>
    </row>
    <row r="181">
      <c r="A181" s="6" t="inlineStr">
        <is>
          <t>comment</t>
        </is>
      </c>
      <c r="B181" s="13" t="inlineStr">
        <is>
          <t xml:space="preserve">Machine washing garments at 40°C using liquid detergent. Includes environmental impacts from the washing machine's production, disposal, electricity and water use, as well as wasterwater and detergent use. Technical specifications are based on an AEG (LV7KR865E) washing machine. </t>
        </is>
      </c>
      <c r="C181" s="6" t="n"/>
      <c r="D181" s="6" t="n"/>
      <c r="E181" s="6" t="n"/>
    </row>
    <row r="182">
      <c r="A182" s="6" t="inlineStr">
        <is>
          <t>location</t>
        </is>
      </c>
      <c r="B182" s="6" t="inlineStr">
        <is>
          <t>GLO</t>
        </is>
      </c>
      <c r="C182" s="6" t="n"/>
      <c r="D182" s="6" t="n"/>
      <c r="E182" s="6" t="n"/>
    </row>
    <row r="183">
      <c r="A183" s="12" t="inlineStr">
        <is>
          <t>production amount</t>
        </is>
      </c>
      <c r="B183" s="12" t="n">
        <v>1</v>
      </c>
    </row>
    <row r="184">
      <c r="A184" s="6" t="inlineStr">
        <is>
          <t>reference product</t>
        </is>
      </c>
      <c r="B184" t="inlineStr">
        <is>
          <t>washing, average, 40°, liquid detergent</t>
        </is>
      </c>
      <c r="C184" s="6" t="n"/>
      <c r="D184" s="6" t="n"/>
      <c r="E184" s="6" t="n"/>
    </row>
    <row r="185">
      <c r="A185" s="12" t="inlineStr">
        <is>
          <t>unit</t>
        </is>
      </c>
      <c r="B185" s="12" t="inlineStr">
        <is>
          <t>kg garment</t>
        </is>
      </c>
      <c r="C185" s="6" t="n"/>
      <c r="D185" s="6" t="n"/>
      <c r="E185" s="6" t="n"/>
    </row>
    <row r="186">
      <c r="A186" s="6" t="n"/>
      <c r="B186" s="6" t="n"/>
      <c r="C186" s="6" t="n"/>
      <c r="D186" s="6" t="n"/>
      <c r="E186" s="6" t="n"/>
    </row>
    <row r="187">
      <c r="A187" s="14" t="inlineStr">
        <is>
          <t>Exchanges</t>
        </is>
      </c>
      <c r="B187" s="12" t="n"/>
      <c r="C187" s="12" t="n"/>
      <c r="D187" s="12" t="n"/>
      <c r="E187" s="12" t="n"/>
    </row>
    <row r="188">
      <c r="A188" s="15" t="inlineStr">
        <is>
          <t>name</t>
        </is>
      </c>
      <c r="B188" s="15" t="inlineStr">
        <is>
          <t>amount</t>
        </is>
      </c>
      <c r="C188" s="15" t="inlineStr">
        <is>
          <t>location</t>
        </is>
      </c>
      <c r="D188" s="15" t="inlineStr">
        <is>
          <t>unit</t>
        </is>
      </c>
      <c r="E188" s="15" t="inlineStr">
        <is>
          <t>type</t>
        </is>
      </c>
      <c r="F188" s="7" t="inlineStr">
        <is>
          <t>comment</t>
        </is>
      </c>
    </row>
    <row r="189">
      <c r="A189" t="inlineStr">
        <is>
          <t>washing, average, 40°, liquid detergent</t>
        </is>
      </c>
      <c r="B189" t="n">
        <v>1</v>
      </c>
      <c r="C189" t="inlineStr">
        <is>
          <t>GLO</t>
        </is>
      </c>
      <c r="D189" t="inlineStr">
        <is>
          <t>kg garment</t>
        </is>
      </c>
      <c r="E189" t="inlineStr">
        <is>
          <t>production</t>
        </is>
      </c>
      <c r="F189" t="inlineStr">
        <is>
          <t>-</t>
        </is>
      </c>
    </row>
    <row r="190">
      <c r="A190" t="inlineStr">
        <is>
          <t>liquid detergent</t>
        </is>
      </c>
      <c r="B190" t="n">
        <v>0.0169</v>
      </c>
      <c r="C190" t="inlineStr">
        <is>
          <t>GLO</t>
        </is>
      </c>
      <c r="D190" t="inlineStr">
        <is>
          <t>kg</t>
        </is>
      </c>
      <c r="E190" t="inlineStr">
        <is>
          <t>technosphere</t>
        </is>
      </c>
      <c r="F190" s="47" t="inlineStr">
        <is>
          <t>From activity: liquid detergent</t>
        </is>
      </c>
    </row>
    <row r="191">
      <c r="A191" t="inlineStr">
        <is>
          <t>market for tap water</t>
        </is>
      </c>
      <c r="B191" t="n">
        <v>20.2020202020202</v>
      </c>
      <c r="C191" t="inlineStr">
        <is>
          <t>Europe without Switzerland</t>
        </is>
      </c>
      <c r="D191" t="inlineStr">
        <is>
          <t>kilogram</t>
        </is>
      </c>
      <c r="E191" t="inlineStr">
        <is>
          <t>technosphere</t>
        </is>
      </c>
      <c r="F191" s="47" t="inlineStr">
        <is>
          <t xml:space="preserve">From original dataset; water use </t>
        </is>
      </c>
    </row>
    <row r="192">
      <c r="A192" t="inlineStr">
        <is>
          <t>market for washing machine</t>
        </is>
      </c>
      <c r="B192" s="28" t="n">
        <v>7.67813267813267e-05</v>
      </c>
      <c r="C192" t="inlineStr">
        <is>
          <t>GLO</t>
        </is>
      </c>
      <c r="D192" t="inlineStr">
        <is>
          <t>unit</t>
        </is>
      </c>
      <c r="E192" t="inlineStr">
        <is>
          <t>technosphere</t>
        </is>
      </c>
      <c r="F192" s="47" t="inlineStr">
        <is>
          <t>From original dataset; impact from washing machine</t>
        </is>
      </c>
    </row>
    <row r="193">
      <c r="A193" t="inlineStr">
        <is>
          <t>market for wastewater, average</t>
        </is>
      </c>
      <c r="B193" t="n">
        <v>0.0202016702020202</v>
      </c>
      <c r="C193" t="inlineStr">
        <is>
          <t>Europe without Switzerland</t>
        </is>
      </c>
      <c r="D193" t="inlineStr">
        <is>
          <t>cubic meter</t>
        </is>
      </c>
      <c r="E193" t="inlineStr">
        <is>
          <t>technosphere</t>
        </is>
      </c>
      <c r="F193" s="47" t="inlineStr">
        <is>
          <t>From original dataset; wastewater generation</t>
        </is>
      </c>
    </row>
    <row r="194">
      <c r="A194" t="inlineStr">
        <is>
          <t>market group for electricity, low voltage</t>
        </is>
      </c>
      <c r="B194" t="n">
        <v>0.2693602693602694</v>
      </c>
      <c r="C194" t="inlineStr">
        <is>
          <t>Europe without Switzerland</t>
        </is>
      </c>
      <c r="D194" t="inlineStr">
        <is>
          <t>kilowatt hour</t>
        </is>
      </c>
      <c r="E194" t="inlineStr">
        <is>
          <t>technosphere</t>
        </is>
      </c>
      <c r="F194" s="47" t="inlineStr">
        <is>
          <t>From original dataset; active electricity use</t>
        </is>
      </c>
    </row>
    <row r="195">
      <c r="A195" t="inlineStr">
        <is>
          <t>market group for electricity, low voltage</t>
        </is>
      </c>
      <c r="B195" t="n">
        <v>0.00185449938574938</v>
      </c>
      <c r="C195" t="inlineStr">
        <is>
          <t>Europe without Switzerland</t>
        </is>
      </c>
      <c r="D195" t="inlineStr">
        <is>
          <t>kilowatt hour</t>
        </is>
      </c>
      <c r="E195" t="inlineStr">
        <is>
          <t>technosphere</t>
        </is>
      </c>
      <c r="F195" s="47" t="inlineStr">
        <is>
          <t xml:space="preserve">From original dataset; passive electricity use </t>
        </is>
      </c>
    </row>
    <row r="197">
      <c r="A197" s="1" t="n"/>
      <c r="B197" s="1" t="n"/>
      <c r="C197" s="1" t="n"/>
      <c r="D197" s="1" t="n"/>
      <c r="E197" s="1" t="n"/>
      <c r="F197" s="1" t="n"/>
      <c r="G197" s="1" t="n"/>
    </row>
    <row r="199">
      <c r="A199" s="81" t="inlineStr">
        <is>
          <t>Activity</t>
        </is>
      </c>
      <c r="B199" s="2" t="inlineStr">
        <is>
          <t>washing, average, 40°, powder detergent</t>
        </is>
      </c>
      <c r="C199" s="6" t="n"/>
      <c r="D199" s="6" t="n"/>
      <c r="E199" s="6" t="n"/>
    </row>
    <row r="200">
      <c r="A200" s="6" t="inlineStr">
        <is>
          <t>comment</t>
        </is>
      </c>
      <c r="B200" s="13" t="inlineStr">
        <is>
          <t xml:space="preserve">Machine washing garments at 40°C using powder detergent. Includes environmental impacts from the washing machine's production, disposal, electricity and water use, as well as wasterwater and detergent use. Technical specifications are based on an AEG (LV7KR865E) washing machine. </t>
        </is>
      </c>
      <c r="C200" s="6" t="n"/>
      <c r="D200" s="6" t="n"/>
      <c r="E200" s="6" t="n"/>
    </row>
    <row r="201">
      <c r="A201" s="6" t="inlineStr">
        <is>
          <t>location</t>
        </is>
      </c>
      <c r="B201" s="6" t="inlineStr">
        <is>
          <t>GLO</t>
        </is>
      </c>
      <c r="C201" s="6" t="n"/>
      <c r="D201" s="6" t="n"/>
      <c r="E201" s="6" t="n"/>
    </row>
    <row r="202">
      <c r="A202" s="12" t="inlineStr">
        <is>
          <t>production amount</t>
        </is>
      </c>
      <c r="B202" s="12" t="n">
        <v>1</v>
      </c>
    </row>
    <row r="203">
      <c r="A203" s="6" t="inlineStr">
        <is>
          <t>reference product</t>
        </is>
      </c>
      <c r="B203" t="inlineStr">
        <is>
          <t>washing, average, 40°, powder detergent</t>
        </is>
      </c>
      <c r="C203" s="6" t="n"/>
      <c r="D203" s="6" t="n"/>
      <c r="E203" s="6" t="n"/>
    </row>
    <row r="204">
      <c r="A204" s="12" t="inlineStr">
        <is>
          <t>unit</t>
        </is>
      </c>
      <c r="B204" s="12" t="inlineStr">
        <is>
          <t>kg garment</t>
        </is>
      </c>
      <c r="C204" s="6" t="n"/>
      <c r="D204" s="6" t="n"/>
      <c r="E204" s="6" t="n"/>
    </row>
    <row r="205">
      <c r="A205" s="6" t="n"/>
      <c r="B205" s="6" t="n"/>
      <c r="C205" s="6" t="n"/>
      <c r="D205" s="6" t="n"/>
      <c r="E205" s="6" t="n"/>
    </row>
    <row r="206">
      <c r="A206" s="14" t="inlineStr">
        <is>
          <t>Exchanges</t>
        </is>
      </c>
      <c r="B206" s="12" t="n"/>
      <c r="C206" s="12" t="n"/>
      <c r="D206" s="12" t="n"/>
      <c r="E206" s="12" t="n"/>
    </row>
    <row r="207">
      <c r="A207" s="15" t="inlineStr">
        <is>
          <t>name</t>
        </is>
      </c>
      <c r="B207" s="15" t="inlineStr">
        <is>
          <t>amount</t>
        </is>
      </c>
      <c r="C207" s="15" t="inlineStr">
        <is>
          <t>location</t>
        </is>
      </c>
      <c r="D207" s="15" t="inlineStr">
        <is>
          <t>unit</t>
        </is>
      </c>
      <c r="E207" s="15" t="inlineStr">
        <is>
          <t>type</t>
        </is>
      </c>
      <c r="F207" s="7" t="inlineStr">
        <is>
          <t>comment</t>
        </is>
      </c>
    </row>
    <row r="208">
      <c r="A208" t="inlineStr">
        <is>
          <t>washing, average, 40°, powder detergent</t>
        </is>
      </c>
      <c r="B208" t="n">
        <v>1</v>
      </c>
      <c r="C208" t="inlineStr">
        <is>
          <t>GLO</t>
        </is>
      </c>
      <c r="D208" t="inlineStr">
        <is>
          <t>kg garment</t>
        </is>
      </c>
      <c r="E208" t="inlineStr">
        <is>
          <t>production</t>
        </is>
      </c>
      <c r="F208" t="inlineStr">
        <is>
          <t>-</t>
        </is>
      </c>
    </row>
    <row r="209">
      <c r="A209" t="inlineStr">
        <is>
          <t>market for tap water</t>
        </is>
      </c>
      <c r="B209" t="n">
        <v>20.2020202020202</v>
      </c>
      <c r="C209" t="inlineStr">
        <is>
          <t>Europe without Switzerland</t>
        </is>
      </c>
      <c r="D209" t="inlineStr">
        <is>
          <t>kilogram</t>
        </is>
      </c>
      <c r="E209" t="inlineStr">
        <is>
          <t>technosphere</t>
        </is>
      </c>
      <c r="F209" s="47" t="inlineStr">
        <is>
          <t xml:space="preserve">From original dataset; water use </t>
        </is>
      </c>
    </row>
    <row r="210">
      <c r="A210" t="inlineStr">
        <is>
          <t>market for washing machine</t>
        </is>
      </c>
      <c r="B210" s="28" t="n">
        <v>7.67813267813267e-05</v>
      </c>
      <c r="C210" t="inlineStr">
        <is>
          <t>GLO</t>
        </is>
      </c>
      <c r="D210" t="inlineStr">
        <is>
          <t>unit</t>
        </is>
      </c>
      <c r="E210" t="inlineStr">
        <is>
          <t>technosphere</t>
        </is>
      </c>
      <c r="F210" s="47" t="inlineStr">
        <is>
          <t>From original dataset; impact from washing machine</t>
        </is>
      </c>
    </row>
    <row r="211">
      <c r="A211" t="inlineStr">
        <is>
          <t>market for wastewater, average</t>
        </is>
      </c>
      <c r="B211" t="n">
        <v>0.0202016702020202</v>
      </c>
      <c r="C211" t="inlineStr">
        <is>
          <t>Europe without Switzerland</t>
        </is>
      </c>
      <c r="D211" t="inlineStr">
        <is>
          <t>cubic meter</t>
        </is>
      </c>
      <c r="E211" t="inlineStr">
        <is>
          <t>technosphere</t>
        </is>
      </c>
      <c r="F211" s="47" t="inlineStr">
        <is>
          <t>From original dataset; wastewater generation</t>
        </is>
      </c>
    </row>
    <row r="212">
      <c r="A212" t="inlineStr">
        <is>
          <t>market group for electricity, low voltage</t>
        </is>
      </c>
      <c r="B212" t="n">
        <v>0.2693602693602694</v>
      </c>
      <c r="C212" t="inlineStr">
        <is>
          <t>Europe without Switzerland</t>
        </is>
      </c>
      <c r="D212" t="inlineStr">
        <is>
          <t>kilowatt hour</t>
        </is>
      </c>
      <c r="E212" t="inlineStr">
        <is>
          <t>technosphere</t>
        </is>
      </c>
      <c r="F212" s="47" t="inlineStr">
        <is>
          <t>From original dataset; active electricity use</t>
        </is>
      </c>
    </row>
    <row r="213">
      <c r="A213" t="inlineStr">
        <is>
          <t>market group for electricity, low voltage</t>
        </is>
      </c>
      <c r="B213" t="n">
        <v>0.00185449938574938</v>
      </c>
      <c r="C213" t="inlineStr">
        <is>
          <t>Europe without Switzerland</t>
        </is>
      </c>
      <c r="D213" t="inlineStr">
        <is>
          <t>kilowatt hour</t>
        </is>
      </c>
      <c r="E213" t="inlineStr">
        <is>
          <t>technosphere</t>
        </is>
      </c>
      <c r="F213" s="47" t="inlineStr">
        <is>
          <t xml:space="preserve">From original dataset; passive electricity use </t>
        </is>
      </c>
    </row>
    <row r="214">
      <c r="A214" t="inlineStr">
        <is>
          <t>powder detergent</t>
        </is>
      </c>
      <c r="B214" t="n">
        <v>0.0196</v>
      </c>
      <c r="C214" t="inlineStr">
        <is>
          <t>GLO</t>
        </is>
      </c>
      <c r="D214" t="inlineStr">
        <is>
          <t>kg</t>
        </is>
      </c>
      <c r="E214" t="inlineStr">
        <is>
          <t>technosphere</t>
        </is>
      </c>
      <c r="F214" s="47" t="inlineStr">
        <is>
          <t>From activity: powder detergent</t>
        </is>
      </c>
    </row>
    <row r="216">
      <c r="A216" s="1" t="n"/>
      <c r="B216" s="1" t="n"/>
      <c r="C216" s="1" t="n"/>
      <c r="D216" s="1" t="n"/>
      <c r="E216" s="1" t="n"/>
      <c r="F216" s="1" t="n"/>
      <c r="G216" s="1" t="n"/>
    </row>
    <row r="218">
      <c r="A218" s="81" t="inlineStr">
        <is>
          <t>Activity</t>
        </is>
      </c>
      <c r="B218" s="2" t="inlineStr">
        <is>
          <t>washing, average, 60°, liquid detergent</t>
        </is>
      </c>
      <c r="C218" s="6" t="n"/>
      <c r="D218" s="6" t="n"/>
      <c r="E218" s="6" t="n"/>
    </row>
    <row r="219">
      <c r="A219" s="6" t="inlineStr">
        <is>
          <t>comment</t>
        </is>
      </c>
      <c r="B219" s="13" t="inlineStr">
        <is>
          <t xml:space="preserve">Machine washing garments at 60°C using liquid detergent. Includes environmental impacts from the washing machine's production, disposal, electricity and water use, as well as wasterwater and detergent use. Technical specifications are based on an AEG (LV7KR865E) washing machine. </t>
        </is>
      </c>
      <c r="C219" s="6" t="n"/>
      <c r="D219" s="6" t="n"/>
      <c r="E219" s="6" t="n"/>
    </row>
    <row r="220">
      <c r="A220" s="6" t="inlineStr">
        <is>
          <t>location</t>
        </is>
      </c>
      <c r="B220" s="6" t="inlineStr">
        <is>
          <t>GLO</t>
        </is>
      </c>
      <c r="C220" s="6" t="n"/>
      <c r="D220" s="6" t="n"/>
      <c r="E220" s="6" t="n"/>
    </row>
    <row r="221">
      <c r="A221" s="12" t="inlineStr">
        <is>
          <t>production amount</t>
        </is>
      </c>
      <c r="B221" s="12" t="n">
        <v>1</v>
      </c>
    </row>
    <row r="222">
      <c r="A222" s="6" t="inlineStr">
        <is>
          <t>reference product</t>
        </is>
      </c>
      <c r="B222" t="inlineStr">
        <is>
          <t>washing, average, 60°, liquid detergent</t>
        </is>
      </c>
      <c r="C222" s="6" t="n"/>
      <c r="D222" s="6" t="n"/>
      <c r="E222" s="6" t="n"/>
    </row>
    <row r="223">
      <c r="A223" s="12" t="inlineStr">
        <is>
          <t>unit</t>
        </is>
      </c>
      <c r="B223" s="12" t="inlineStr">
        <is>
          <t>kg garment</t>
        </is>
      </c>
      <c r="C223" s="6" t="n"/>
      <c r="D223" s="6" t="n"/>
      <c r="E223" s="6" t="n"/>
    </row>
    <row r="224">
      <c r="A224" s="6" t="n"/>
      <c r="B224" s="6" t="n"/>
      <c r="C224" s="6" t="n"/>
      <c r="D224" s="6" t="n"/>
      <c r="E224" s="6" t="n"/>
    </row>
    <row r="225">
      <c r="A225" s="14" t="inlineStr">
        <is>
          <t>Exchanges</t>
        </is>
      </c>
      <c r="B225" s="12" t="n"/>
      <c r="C225" s="12" t="n"/>
      <c r="D225" s="12" t="n"/>
      <c r="E225" s="12" t="n"/>
    </row>
    <row r="226">
      <c r="A226" s="15" t="inlineStr">
        <is>
          <t>name</t>
        </is>
      </c>
      <c r="B226" s="15" t="inlineStr">
        <is>
          <t>amount</t>
        </is>
      </c>
      <c r="C226" s="15" t="inlineStr">
        <is>
          <t>location</t>
        </is>
      </c>
      <c r="D226" s="15" t="inlineStr">
        <is>
          <t>unit</t>
        </is>
      </c>
      <c r="E226" s="15" t="inlineStr">
        <is>
          <t>type</t>
        </is>
      </c>
      <c r="F226" s="7" t="inlineStr">
        <is>
          <t>comment</t>
        </is>
      </c>
    </row>
    <row r="227">
      <c r="A227" t="inlineStr">
        <is>
          <t>washing, average, 60°, liquid detergent</t>
        </is>
      </c>
      <c r="B227" t="n">
        <v>1</v>
      </c>
      <c r="C227" t="inlineStr">
        <is>
          <t>GLO</t>
        </is>
      </c>
      <c r="D227" t="inlineStr">
        <is>
          <t>kg garment</t>
        </is>
      </c>
      <c r="E227" t="inlineStr">
        <is>
          <t>production</t>
        </is>
      </c>
      <c r="F227" t="inlineStr">
        <is>
          <t>-</t>
        </is>
      </c>
    </row>
    <row r="228">
      <c r="A228" t="inlineStr">
        <is>
          <t>liquid detergent</t>
        </is>
      </c>
      <c r="B228" t="n">
        <v>0.0169</v>
      </c>
      <c r="C228" t="inlineStr">
        <is>
          <t>GLO</t>
        </is>
      </c>
      <c r="D228" t="inlineStr">
        <is>
          <t>kg</t>
        </is>
      </c>
      <c r="E228" t="inlineStr">
        <is>
          <t>technosphere</t>
        </is>
      </c>
      <c r="F228" s="47" t="inlineStr">
        <is>
          <t>From activity: liquid detergent</t>
        </is>
      </c>
    </row>
    <row r="229">
      <c r="A229" t="inlineStr">
        <is>
          <t>market for tap water</t>
        </is>
      </c>
      <c r="B229" t="n">
        <v>14.7058823529411</v>
      </c>
      <c r="C229" t="inlineStr">
        <is>
          <t>Europe without Switzerland</t>
        </is>
      </c>
      <c r="D229" t="inlineStr">
        <is>
          <t>kilogram</t>
        </is>
      </c>
      <c r="E229" t="inlineStr">
        <is>
          <t>technosphere</t>
        </is>
      </c>
      <c r="F229" s="47" t="inlineStr">
        <is>
          <t xml:space="preserve">From original dataset; water use </t>
        </is>
      </c>
    </row>
    <row r="230">
      <c r="A230" t="inlineStr">
        <is>
          <t>market for washing machine</t>
        </is>
      </c>
      <c r="B230" s="28" t="n">
        <v>7.67813267813267e-05</v>
      </c>
      <c r="C230" t="inlineStr">
        <is>
          <t>GLO</t>
        </is>
      </c>
      <c r="D230" t="inlineStr">
        <is>
          <t>unit</t>
        </is>
      </c>
      <c r="E230" t="inlineStr">
        <is>
          <t>technosphere</t>
        </is>
      </c>
      <c r="F230" s="47" t="inlineStr">
        <is>
          <t>From original dataset; impact from washing machine</t>
        </is>
      </c>
    </row>
    <row r="231">
      <c r="A231" t="inlineStr">
        <is>
          <t>market for wastewater, average</t>
        </is>
      </c>
      <c r="B231" t="n">
        <v>0.0142658823529411</v>
      </c>
      <c r="C231" t="inlineStr">
        <is>
          <t>Europe without Switzerland</t>
        </is>
      </c>
      <c r="D231" t="inlineStr">
        <is>
          <t>cubic meter</t>
        </is>
      </c>
      <c r="E231" t="inlineStr">
        <is>
          <t>technosphere</t>
        </is>
      </c>
      <c r="F231" s="47" t="inlineStr">
        <is>
          <t>From original dataset; wastewater generation</t>
        </is>
      </c>
    </row>
    <row r="232">
      <c r="A232" t="inlineStr">
        <is>
          <t>market group for electricity, low voltage</t>
        </is>
      </c>
      <c r="B232" t="n">
        <v>0.2389705882352941</v>
      </c>
      <c r="C232" t="inlineStr">
        <is>
          <t>Europe without Switzerland</t>
        </is>
      </c>
      <c r="D232" t="inlineStr">
        <is>
          <t>kilowatt hour</t>
        </is>
      </c>
      <c r="E232" t="inlineStr">
        <is>
          <t>technosphere</t>
        </is>
      </c>
      <c r="F232" s="47" t="inlineStr">
        <is>
          <t>From original dataset; active electricity use</t>
        </is>
      </c>
    </row>
    <row r="233">
      <c r="A233" t="inlineStr">
        <is>
          <t>market group for electricity, low voltage</t>
        </is>
      </c>
      <c r="B233" t="n">
        <v>0.00185449938574938</v>
      </c>
      <c r="C233" t="inlineStr">
        <is>
          <t>Europe without Switzerland</t>
        </is>
      </c>
      <c r="D233" t="inlineStr">
        <is>
          <t>kilowatt hour</t>
        </is>
      </c>
      <c r="E233" t="inlineStr">
        <is>
          <t>technosphere</t>
        </is>
      </c>
      <c r="F233" s="47" t="inlineStr">
        <is>
          <t xml:space="preserve">From original dataset; passive electricity use </t>
        </is>
      </c>
    </row>
    <row r="235">
      <c r="A235" s="1" t="n"/>
      <c r="B235" s="1" t="n"/>
      <c r="C235" s="1" t="n"/>
      <c r="D235" s="1" t="n"/>
      <c r="E235" s="1" t="n"/>
      <c r="F235" s="1" t="n"/>
      <c r="G235" s="1" t="n"/>
    </row>
    <row r="237">
      <c r="A237" s="81" t="inlineStr">
        <is>
          <t>Activity</t>
        </is>
      </c>
      <c r="B237" s="2" t="inlineStr">
        <is>
          <t>washing, average, 60°, powder detergent</t>
        </is>
      </c>
      <c r="C237" s="6" t="n"/>
      <c r="D237" s="6" t="n"/>
      <c r="E237" s="6" t="n"/>
    </row>
    <row r="238">
      <c r="A238" s="6" t="inlineStr">
        <is>
          <t>comment</t>
        </is>
      </c>
      <c r="B238" s="13" t="inlineStr">
        <is>
          <t xml:space="preserve">Machine washing garments at 60°C using powder detergent. Includes environmental impacts from the washing machine's production, disposal, electricity and water use, as well as wasterwater and detergent use. Technical specifications are based on an AEG (LV7KR865E) washing machine. </t>
        </is>
      </c>
      <c r="C238" s="6" t="n"/>
      <c r="D238" s="6" t="n"/>
      <c r="E238" s="6" t="n"/>
    </row>
    <row r="239">
      <c r="A239" s="6" t="inlineStr">
        <is>
          <t>location</t>
        </is>
      </c>
      <c r="B239" s="6" t="inlineStr">
        <is>
          <t>GLO</t>
        </is>
      </c>
      <c r="C239" s="6" t="n"/>
      <c r="D239" s="6" t="n"/>
      <c r="E239" s="6" t="n"/>
    </row>
    <row r="240">
      <c r="A240" s="12" t="inlineStr">
        <is>
          <t>production amount</t>
        </is>
      </c>
      <c r="B240" s="12" t="n">
        <v>1</v>
      </c>
    </row>
    <row r="241">
      <c r="A241" s="6" t="inlineStr">
        <is>
          <t>reference product</t>
        </is>
      </c>
      <c r="B241" t="inlineStr">
        <is>
          <t>washing, average, 60°, powder detergent</t>
        </is>
      </c>
      <c r="C241" s="6" t="n"/>
      <c r="D241" s="6" t="n"/>
      <c r="E241" s="6" t="n"/>
    </row>
    <row r="242">
      <c r="A242" s="12" t="inlineStr">
        <is>
          <t>unit</t>
        </is>
      </c>
      <c r="B242" s="12" t="inlineStr">
        <is>
          <t>kg garment</t>
        </is>
      </c>
      <c r="C242" s="6" t="n"/>
      <c r="D242" s="6" t="n"/>
      <c r="E242" s="6" t="n"/>
    </row>
    <row r="243">
      <c r="A243" s="6" t="n"/>
      <c r="B243" s="6" t="n"/>
      <c r="C243" s="6" t="n"/>
      <c r="D243" s="6" t="n"/>
      <c r="E243" s="6" t="n"/>
    </row>
    <row r="244">
      <c r="A244" s="14" t="inlineStr">
        <is>
          <t>Exchanges</t>
        </is>
      </c>
      <c r="B244" s="12" t="n"/>
      <c r="C244" s="12" t="n"/>
      <c r="D244" s="12" t="n"/>
      <c r="E244" s="12" t="n"/>
    </row>
    <row r="245">
      <c r="A245" s="15" t="inlineStr">
        <is>
          <t>name</t>
        </is>
      </c>
      <c r="B245" s="15" t="inlineStr">
        <is>
          <t>amount</t>
        </is>
      </c>
      <c r="C245" s="15" t="inlineStr">
        <is>
          <t>location</t>
        </is>
      </c>
      <c r="D245" s="15" t="inlineStr">
        <is>
          <t>unit</t>
        </is>
      </c>
      <c r="E245" s="15" t="inlineStr">
        <is>
          <t>type</t>
        </is>
      </c>
      <c r="F245" s="7" t="inlineStr">
        <is>
          <t>comment</t>
        </is>
      </c>
    </row>
    <row r="246">
      <c r="A246" t="inlineStr">
        <is>
          <t>washing, average, 60°, powder detergent</t>
        </is>
      </c>
      <c r="B246" t="n">
        <v>1</v>
      </c>
      <c r="C246" t="inlineStr">
        <is>
          <t>GLO</t>
        </is>
      </c>
      <c r="D246" t="inlineStr">
        <is>
          <t>kg garment</t>
        </is>
      </c>
      <c r="E246" t="inlineStr">
        <is>
          <t>production</t>
        </is>
      </c>
      <c r="F246" t="inlineStr">
        <is>
          <t>-</t>
        </is>
      </c>
    </row>
    <row r="247">
      <c r="A247" t="inlineStr">
        <is>
          <t>market for tap water</t>
        </is>
      </c>
      <c r="B247" t="n">
        <v>14.7058823529411</v>
      </c>
      <c r="C247" t="inlineStr">
        <is>
          <t>Europe without Switzerland</t>
        </is>
      </c>
      <c r="D247" t="inlineStr">
        <is>
          <t>kilogram</t>
        </is>
      </c>
      <c r="E247" t="inlineStr">
        <is>
          <t>technosphere</t>
        </is>
      </c>
      <c r="F247" s="47" t="inlineStr">
        <is>
          <t xml:space="preserve">From original dataset; water use </t>
        </is>
      </c>
    </row>
    <row r="248">
      <c r="A248" t="inlineStr">
        <is>
          <t>market for washing machine</t>
        </is>
      </c>
      <c r="B248" s="28" t="n">
        <v>7.67813267813267e-05</v>
      </c>
      <c r="C248" t="inlineStr">
        <is>
          <t>GLO</t>
        </is>
      </c>
      <c r="D248" t="inlineStr">
        <is>
          <t>unit</t>
        </is>
      </c>
      <c r="E248" t="inlineStr">
        <is>
          <t>technosphere</t>
        </is>
      </c>
      <c r="F248" s="47" t="inlineStr">
        <is>
          <t>From original dataset; impact from washing machine</t>
        </is>
      </c>
    </row>
    <row r="249">
      <c r="A249" t="inlineStr">
        <is>
          <t>market for wastewater, average</t>
        </is>
      </c>
      <c r="B249" t="n">
        <v>0.0142658823529411</v>
      </c>
      <c r="C249" t="inlineStr">
        <is>
          <t>Europe without Switzerland</t>
        </is>
      </c>
      <c r="D249" t="inlineStr">
        <is>
          <t>cubic meter</t>
        </is>
      </c>
      <c r="E249" t="inlineStr">
        <is>
          <t>technosphere</t>
        </is>
      </c>
      <c r="F249" s="47" t="inlineStr">
        <is>
          <t>From original dataset; wastewater generation</t>
        </is>
      </c>
    </row>
    <row r="250">
      <c r="A250" t="inlineStr">
        <is>
          <t>market group for electricity, low voltage</t>
        </is>
      </c>
      <c r="B250" t="n">
        <v>0.2389705882352941</v>
      </c>
      <c r="C250" t="inlineStr">
        <is>
          <t>Europe without Switzerland</t>
        </is>
      </c>
      <c r="D250" t="inlineStr">
        <is>
          <t>kilowatt hour</t>
        </is>
      </c>
      <c r="E250" t="inlineStr">
        <is>
          <t>technosphere</t>
        </is>
      </c>
      <c r="F250" s="47" t="inlineStr">
        <is>
          <t>From original dataset; active electricity use</t>
        </is>
      </c>
    </row>
    <row r="251">
      <c r="A251" t="inlineStr">
        <is>
          <t>market group for electricity, low voltage</t>
        </is>
      </c>
      <c r="B251" t="n">
        <v>0.00185449938574938</v>
      </c>
      <c r="C251" t="inlineStr">
        <is>
          <t>Europe without Switzerland</t>
        </is>
      </c>
      <c r="D251" t="inlineStr">
        <is>
          <t>kilowatt hour</t>
        </is>
      </c>
      <c r="E251" t="inlineStr">
        <is>
          <t>technosphere</t>
        </is>
      </c>
      <c r="F251" s="47" t="inlineStr">
        <is>
          <t xml:space="preserve">From original dataset; passive electricity use </t>
        </is>
      </c>
    </row>
    <row r="252">
      <c r="A252" t="inlineStr">
        <is>
          <t>powder detergent</t>
        </is>
      </c>
      <c r="B252" t="n">
        <v>0.0196</v>
      </c>
      <c r="C252" t="inlineStr">
        <is>
          <t>GLO</t>
        </is>
      </c>
      <c r="D252" t="inlineStr">
        <is>
          <t>kg</t>
        </is>
      </c>
      <c r="E252" t="inlineStr">
        <is>
          <t>technosphere</t>
        </is>
      </c>
      <c r="F252" s="47" t="inlineStr">
        <is>
          <t>From activity: powder detergent</t>
        </is>
      </c>
    </row>
    <row r="254">
      <c r="A254" s="1" t="n"/>
      <c r="B254" s="1" t="n"/>
      <c r="C254" s="1" t="n"/>
      <c r="D254" s="1" t="n"/>
      <c r="E254" s="1" t="n"/>
      <c r="F254" s="1" t="n"/>
      <c r="G254" s="1" t="n"/>
    </row>
    <row r="256">
      <c r="A256" s="81" t="inlineStr">
        <is>
          <t>Activity</t>
        </is>
      </c>
      <c r="B256" s="2" t="inlineStr">
        <is>
          <t>hand washing, liquid detergent</t>
        </is>
      </c>
    </row>
    <row r="257">
      <c r="A257" s="6" t="inlineStr">
        <is>
          <t>comment</t>
        </is>
      </c>
      <c r="B257" s="13" t="inlineStr">
        <is>
          <t>Hand washing includes electricity for heating water, tap water, and liquid detergent as inputs, and wastewater as the only output. Detergent amounts are based on typical use for medium-soiled laundry.</t>
        </is>
      </c>
    </row>
    <row r="258">
      <c r="A258" s="6" t="inlineStr">
        <is>
          <t>location</t>
        </is>
      </c>
      <c r="B258" t="inlineStr">
        <is>
          <t>GLO</t>
        </is>
      </c>
    </row>
    <row r="259">
      <c r="A259" s="12" t="inlineStr">
        <is>
          <t>production amount</t>
        </is>
      </c>
      <c r="B259" s="12" t="n">
        <v>1</v>
      </c>
    </row>
    <row r="260">
      <c r="A260" s="6" t="inlineStr">
        <is>
          <t>reference product</t>
        </is>
      </c>
      <c r="B260" t="inlineStr">
        <is>
          <t>hand washing, liquid detergent</t>
        </is>
      </c>
    </row>
    <row r="261">
      <c r="A261" s="12" t="inlineStr">
        <is>
          <t>unit</t>
        </is>
      </c>
      <c r="B261" s="12" t="inlineStr">
        <is>
          <t>kg garment</t>
        </is>
      </c>
    </row>
    <row r="262">
      <c r="A262" s="2" t="n"/>
      <c r="B262" s="2" t="n"/>
    </row>
    <row r="263">
      <c r="A263" s="14" t="inlineStr">
        <is>
          <t>Exchanges</t>
        </is>
      </c>
      <c r="B263" s="12" t="n"/>
      <c r="C263" s="12" t="n"/>
      <c r="D263" s="12" t="n"/>
      <c r="E263" s="12" t="n"/>
    </row>
    <row r="264">
      <c r="A264" s="15" t="inlineStr">
        <is>
          <t>name</t>
        </is>
      </c>
      <c r="B264" s="15" t="inlineStr">
        <is>
          <t>amount</t>
        </is>
      </c>
      <c r="C264" s="15" t="inlineStr">
        <is>
          <t>location</t>
        </is>
      </c>
      <c r="D264" s="15" t="inlineStr">
        <is>
          <t>unit</t>
        </is>
      </c>
      <c r="E264" s="15" t="inlineStr">
        <is>
          <t>type</t>
        </is>
      </c>
      <c r="F264" s="7" t="inlineStr">
        <is>
          <t>comment</t>
        </is>
      </c>
    </row>
    <row r="265">
      <c r="A265" t="inlineStr">
        <is>
          <t>hand washing, liquid detergent</t>
        </is>
      </c>
      <c r="B265" t="n">
        <v>1</v>
      </c>
      <c r="C265" t="inlineStr">
        <is>
          <t>GLO</t>
        </is>
      </c>
      <c r="D265" t="inlineStr">
        <is>
          <t>kg garment</t>
        </is>
      </c>
      <c r="E265" t="inlineStr">
        <is>
          <t>production</t>
        </is>
      </c>
      <c r="F265" t="inlineStr">
        <is>
          <t>-</t>
        </is>
      </c>
    </row>
    <row r="266">
      <c r="A266" t="inlineStr">
        <is>
          <t>liquid detergent</t>
        </is>
      </c>
      <c r="B266" t="n">
        <v>0.0169</v>
      </c>
      <c r="C266" t="inlineStr">
        <is>
          <t>GLO</t>
        </is>
      </c>
      <c r="D266" t="inlineStr">
        <is>
          <t>kg</t>
        </is>
      </c>
      <c r="E266" t="inlineStr">
        <is>
          <t>technosphere</t>
        </is>
      </c>
      <c r="F266" s="47" t="inlineStr">
        <is>
          <t>From activity: liquid detergent</t>
        </is>
      </c>
    </row>
    <row r="267">
      <c r="A267" t="inlineStr">
        <is>
          <t>market for tap water</t>
        </is>
      </c>
      <c r="B267" t="n">
        <v>7.1</v>
      </c>
      <c r="C267" t="inlineStr">
        <is>
          <t>Europe without Switzerland</t>
        </is>
      </c>
      <c r="D267" t="inlineStr">
        <is>
          <t>kilogram</t>
        </is>
      </c>
      <c r="E267" t="inlineStr">
        <is>
          <t>technosphere</t>
        </is>
      </c>
      <c r="F267" s="47" t="inlineStr">
        <is>
          <t xml:space="preserve">From original dataset; water use. Based on german consumer behaviour. </t>
        </is>
      </c>
    </row>
    <row r="268">
      <c r="A268" t="inlineStr">
        <is>
          <t>market for wastewater, average</t>
        </is>
      </c>
      <c r="B268" t="n">
        <v>0.0070995</v>
      </c>
      <c r="C268" t="inlineStr">
        <is>
          <t>Europe without Switzerland</t>
        </is>
      </c>
      <c r="D268" t="inlineStr">
        <is>
          <t>cubic meter</t>
        </is>
      </c>
      <c r="E268" t="inlineStr">
        <is>
          <t>technosphere</t>
        </is>
      </c>
      <c r="F268" s="47" t="inlineStr">
        <is>
          <t xml:space="preserve">From original dataset; wastewater generation. Accounting for remaining moisture in wet garment. </t>
        </is>
      </c>
      <c r="G268" s="14" t="n"/>
      <c r="H268" s="12" t="n"/>
      <c r="I268" s="12" t="n"/>
      <c r="J268" s="12" t="n"/>
      <c r="K268" s="12" t="n"/>
    </row>
    <row r="269">
      <c r="A269" t="inlineStr">
        <is>
          <t>market group for electricity, low voltage</t>
        </is>
      </c>
      <c r="B269" t="n">
        <v>0.165</v>
      </c>
      <c r="C269" t="inlineStr">
        <is>
          <t>Europe without Switzerland</t>
        </is>
      </c>
      <c r="D269" t="inlineStr">
        <is>
          <t>kilowatt hour</t>
        </is>
      </c>
      <c r="E269" t="inlineStr">
        <is>
          <t>technosphere</t>
        </is>
      </c>
      <c r="F269" s="47" t="inlineStr">
        <is>
          <t>From original dataset; electricity use to heat water</t>
        </is>
      </c>
      <c r="G269" s="15" t="n"/>
      <c r="H269" s="15" t="n"/>
      <c r="I269" s="15" t="n"/>
      <c r="J269" s="15" t="n"/>
      <c r="K269" s="15" t="n"/>
      <c r="L269" s="7" t="n"/>
    </row>
    <row r="271">
      <c r="A271" s="1" t="n"/>
      <c r="B271" s="1" t="n"/>
      <c r="C271" s="1" t="n"/>
      <c r="D271" s="1" t="n"/>
      <c r="E271" s="1" t="n"/>
      <c r="F271" s="1" t="n"/>
      <c r="G271" s="1" t="n"/>
    </row>
    <row r="273">
      <c r="A273" s="81" t="inlineStr">
        <is>
          <t>Activity</t>
        </is>
      </c>
      <c r="B273" s="2" t="inlineStr">
        <is>
          <t>hand washing, powder detergent</t>
        </is>
      </c>
    </row>
    <row r="274">
      <c r="A274" s="6" t="inlineStr">
        <is>
          <t>comment</t>
        </is>
      </c>
      <c r="B274" s="13" t="inlineStr">
        <is>
          <t>Hand washing includes electricity for heating water, tap water, and powder detergent as inputs, and wastewater as the only output. Detergent amounts are based on typical use for medium-soiled laundry.</t>
        </is>
      </c>
    </row>
    <row r="275">
      <c r="A275" s="6" t="inlineStr">
        <is>
          <t>location</t>
        </is>
      </c>
      <c r="B275" t="inlineStr">
        <is>
          <t>GLO</t>
        </is>
      </c>
    </row>
    <row r="276">
      <c r="A276" s="12" t="inlineStr">
        <is>
          <t>production amount</t>
        </is>
      </c>
      <c r="B276" t="n">
        <v>1</v>
      </c>
    </row>
    <row r="277">
      <c r="A277" s="6" t="inlineStr">
        <is>
          <t>reference product</t>
        </is>
      </c>
      <c r="B277" t="inlineStr">
        <is>
          <t>hand washing, powder detergent</t>
        </is>
      </c>
    </row>
    <row r="278">
      <c r="A278" s="12" t="inlineStr">
        <is>
          <t>unit</t>
        </is>
      </c>
      <c r="B278" t="inlineStr">
        <is>
          <t>per kg laundry</t>
        </is>
      </c>
    </row>
    <row r="279">
      <c r="A279" s="2" t="n"/>
    </row>
    <row r="280">
      <c r="A280" s="14" t="inlineStr">
        <is>
          <t>Exchanges</t>
        </is>
      </c>
      <c r="B280" s="12" t="n"/>
      <c r="C280" s="12" t="n"/>
      <c r="D280" s="12" t="n"/>
      <c r="E280" s="12" t="n"/>
    </row>
    <row r="281">
      <c r="A281" s="15" t="inlineStr">
        <is>
          <t>name</t>
        </is>
      </c>
      <c r="B281" s="15" t="inlineStr">
        <is>
          <t>amount</t>
        </is>
      </c>
      <c r="C281" s="15" t="inlineStr">
        <is>
          <t>location</t>
        </is>
      </c>
      <c r="D281" s="15" t="inlineStr">
        <is>
          <t>unit</t>
        </is>
      </c>
      <c r="E281" s="15" t="inlineStr">
        <is>
          <t>type</t>
        </is>
      </c>
      <c r="F281" s="7" t="inlineStr">
        <is>
          <t>comment</t>
        </is>
      </c>
    </row>
    <row r="282">
      <c r="A282" t="inlineStr">
        <is>
          <t>hand washing, powder detergent</t>
        </is>
      </c>
      <c r="B282" t="n">
        <v>1</v>
      </c>
      <c r="C282" t="inlineStr">
        <is>
          <t>GLO</t>
        </is>
      </c>
      <c r="D282" t="inlineStr">
        <is>
          <t>per kg laundry</t>
        </is>
      </c>
      <c r="E282" t="inlineStr">
        <is>
          <t>production</t>
        </is>
      </c>
      <c r="F282" t="inlineStr">
        <is>
          <t>-</t>
        </is>
      </c>
    </row>
    <row r="283">
      <c r="A283" t="inlineStr">
        <is>
          <t>market for tap water</t>
        </is>
      </c>
      <c r="B283" t="n">
        <v>7.1</v>
      </c>
      <c r="C283" t="inlineStr">
        <is>
          <t>Europe without Switzerland</t>
        </is>
      </c>
      <c r="D283" t="inlineStr">
        <is>
          <t>kilogram</t>
        </is>
      </c>
      <c r="E283" t="inlineStr">
        <is>
          <t>technosphere</t>
        </is>
      </c>
      <c r="F283" s="47" t="inlineStr">
        <is>
          <t xml:space="preserve">From original dataset; water use. Based on german consumer behaviour. </t>
        </is>
      </c>
    </row>
    <row r="284">
      <c r="A284" t="inlineStr">
        <is>
          <t>market for wastewater, average</t>
        </is>
      </c>
      <c r="B284" t="n">
        <v>0.0070995</v>
      </c>
      <c r="C284" t="inlineStr">
        <is>
          <t>Europe without Switzerland</t>
        </is>
      </c>
      <c r="D284" t="inlineStr">
        <is>
          <t>cubic meter</t>
        </is>
      </c>
      <c r="E284" t="inlineStr">
        <is>
          <t>technosphere</t>
        </is>
      </c>
      <c r="F284" s="47" t="inlineStr">
        <is>
          <t xml:space="preserve">From original dataset; wastewater generation. Accounting for remaining moisture in wet garment. </t>
        </is>
      </c>
    </row>
    <row r="285">
      <c r="A285" t="inlineStr">
        <is>
          <t>market group for electricity, low voltage</t>
        </is>
      </c>
      <c r="B285" t="n">
        <v>0.165</v>
      </c>
      <c r="C285" t="inlineStr">
        <is>
          <t>Europe without Switzerland</t>
        </is>
      </c>
      <c r="D285" t="inlineStr">
        <is>
          <t>kilowatt hour</t>
        </is>
      </c>
      <c r="E285" t="inlineStr">
        <is>
          <t>technosphere</t>
        </is>
      </c>
      <c r="F285" s="47" t="inlineStr">
        <is>
          <t>From original dataset; electricity use to heat water</t>
        </is>
      </c>
    </row>
    <row r="286">
      <c r="A286" t="inlineStr">
        <is>
          <t>powder detergent</t>
        </is>
      </c>
      <c r="B286" t="n">
        <v>0.0196</v>
      </c>
      <c r="C286" t="inlineStr">
        <is>
          <t>GLO</t>
        </is>
      </c>
      <c r="D286" t="inlineStr">
        <is>
          <t>kg</t>
        </is>
      </c>
      <c r="E286" t="inlineStr">
        <is>
          <t>technosphere</t>
        </is>
      </c>
      <c r="F286" s="47" t="inlineStr">
        <is>
          <t>From activity: powder detergent</t>
        </is>
      </c>
    </row>
    <row r="288">
      <c r="A288" s="1" t="n"/>
      <c r="B288" s="1" t="n"/>
      <c r="C288" s="1" t="n"/>
      <c r="D288" s="1" t="n"/>
      <c r="E288" s="1" t="n"/>
      <c r="F288" s="1" t="n"/>
      <c r="G288" s="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G14"/>
  <sheetViews>
    <sheetView workbookViewId="0">
      <selection activeCell="G34" sqref="G34"/>
    </sheetView>
  </sheetViews>
  <sheetFormatPr baseColWidth="10" defaultColWidth="8.83203125" defaultRowHeight="15"/>
  <cols>
    <col width="8.83203125" customWidth="1" style="56" min="1" max="5"/>
    <col width="32.5" bestFit="1" customWidth="1" style="56" min="6" max="6"/>
    <col width="8.83203125" customWidth="1" style="56" min="7" max="9"/>
    <col width="12.83203125" customWidth="1" style="56" min="10" max="10"/>
    <col width="8.83203125" customWidth="1" style="56" min="11" max="16384"/>
  </cols>
  <sheetData>
    <row r="1">
      <c r="A1" t="inlineStr">
        <is>
          <t>skip</t>
        </is>
      </c>
      <c r="B1" s="57" t="inlineStr">
        <is>
          <t>index</t>
        </is>
      </c>
      <c r="C1" s="57" t="inlineStr">
        <is>
          <t>amount</t>
        </is>
      </c>
      <c r="D1" s="57" t="inlineStr">
        <is>
          <t>unit</t>
        </is>
      </c>
      <c r="E1" s="57" t="inlineStr">
        <is>
          <t>reference product</t>
        </is>
      </c>
      <c r="F1" s="57" t="inlineStr">
        <is>
          <t>name</t>
        </is>
      </c>
      <c r="G1" s="57" t="inlineStr">
        <is>
          <t>location</t>
        </is>
      </c>
      <c r="H1" s="57" t="inlineStr">
        <is>
          <t>database</t>
        </is>
      </c>
      <c r="I1" s="57" t="inlineStr">
        <is>
          <t>EF v3.1 | acidification | accumulated exceedance (AE)</t>
        </is>
      </c>
      <c r="J1" s="57" t="inlineStr">
        <is>
          <t>EF v3.1 | climate change | global warming potential (GWP100)</t>
        </is>
      </c>
      <c r="K1" s="57" t="inlineStr">
        <is>
          <t>EF v3.1 | climate change: biogenic | global warming potential (GWP100)</t>
        </is>
      </c>
      <c r="L1" s="57" t="inlineStr">
        <is>
          <t>EF v3.1 | climate change: fossil | global warming potential (GWP100)</t>
        </is>
      </c>
      <c r="M1" s="57" t="inlineStr">
        <is>
          <t>EF v3.1 | climate change: land use and land use change | global warming potential (GWP100)</t>
        </is>
      </c>
      <c r="N1" s="57" t="inlineStr">
        <is>
          <t>EF v3.1 | ecotoxicity: freshwater | comparative toxic unit for ecosystems (CTUe)</t>
        </is>
      </c>
      <c r="O1" s="57" t="inlineStr">
        <is>
          <t>EF v3.1 | ecotoxicity: freshwater, inorganics | comparative toxic unit for ecosystems (CTUe)</t>
        </is>
      </c>
      <c r="P1" s="57" t="inlineStr">
        <is>
          <t>EF v3.1 | ecotoxicity: freshwater, organics | comparative toxic unit for ecosystems (CTUe)</t>
        </is>
      </c>
      <c r="Q1" s="57" t="inlineStr">
        <is>
          <t>EF v3.1 | energy resources: non-renewable | abiotic depletion potential (ADP): fossil fuels</t>
        </is>
      </c>
      <c r="R1" s="57" t="inlineStr">
        <is>
          <t>EF v3.1 | eutrophication: freshwater | fraction of nutrients reaching freshwater end compartment (P)</t>
        </is>
      </c>
      <c r="S1" s="57" t="inlineStr">
        <is>
          <t>EF v3.1 | eutrophication: marine | fraction of nutrients reaching marine end compartment (N)</t>
        </is>
      </c>
      <c r="T1" s="57" t="inlineStr">
        <is>
          <t>EF v3.1 | eutrophication: terrestrial | accumulated exceedance (AE)</t>
        </is>
      </c>
      <c r="U1" s="57" t="inlineStr">
        <is>
          <t>EF v3.1 | human toxicity: carcinogenic | comparative toxic unit for human (CTUh)</t>
        </is>
      </c>
      <c r="V1" s="57" t="inlineStr">
        <is>
          <t>EF v3.1 | human toxicity: carcinogenic, inorganics | comparative toxic unit for human (CTUh)</t>
        </is>
      </c>
      <c r="W1" s="57" t="inlineStr">
        <is>
          <t>EF v3.1 | human toxicity: carcinogenic, organics | comparative toxic unit for human (CTUh)</t>
        </is>
      </c>
      <c r="X1" s="57" t="inlineStr">
        <is>
          <t>EF v3.1 | human toxicity: non-carcinogenic | comparative toxic unit for human (CTUh)</t>
        </is>
      </c>
      <c r="Y1" s="57" t="inlineStr">
        <is>
          <t>EF v3.1 | human toxicity: non-carcinogenic, inorganics | comparative toxic unit for human (CTUh)</t>
        </is>
      </c>
      <c r="Z1" s="57" t="inlineStr">
        <is>
          <t>EF v3.1 | human toxicity: non-carcinogenic, organics | comparative toxic unit for human (CTUh)</t>
        </is>
      </c>
      <c r="AA1" s="57" t="inlineStr">
        <is>
          <t>EF v3.1 | ionising radiation: human health | human exposure efficiency relative to u235</t>
        </is>
      </c>
      <c r="AB1" s="57" t="inlineStr">
        <is>
          <t>EF v3.1 | land use | soil quality index</t>
        </is>
      </c>
      <c r="AC1" s="57" t="inlineStr">
        <is>
          <t>EF v3.1 | material resources: metals/minerals | abiotic depletion potential (ADP): elements (ultimate reserves)</t>
        </is>
      </c>
      <c r="AD1" s="57" t="inlineStr">
        <is>
          <t>EF v3.1 | ozone depletion | ozone depletion potential (ODP)</t>
        </is>
      </c>
      <c r="AE1" s="57" t="inlineStr">
        <is>
          <t>EF v3.1 | particulate matter formation | impact on human health</t>
        </is>
      </c>
      <c r="AF1" s="57" t="inlineStr">
        <is>
          <t>EF v3.1 | photochemical oxidant formation: human health | tropospheric ozone concentration increase</t>
        </is>
      </c>
      <c r="AG1" s="57" t="inlineStr">
        <is>
          <t>EF v3.1 | water use | user deprivation potential (deprivation-weighted water consumption)</t>
        </is>
      </c>
    </row>
    <row r="2">
      <c r="A2" s="57" t="n">
        <v>0</v>
      </c>
      <c r="B2" s="56" t="inlineStr">
        <is>
          <t>ironing, average, 1 min | ironing, average, 1 min  | GLO | per minute spent ironing | Carbonfact</t>
        </is>
      </c>
      <c r="C2" s="56" t="n">
        <v>1</v>
      </c>
      <c r="D2" s="56" t="inlineStr">
        <is>
          <t>per minute spent ironing</t>
        </is>
      </c>
      <c r="E2" s="56" t="inlineStr">
        <is>
          <t>ironing, average, 1 min</t>
        </is>
      </c>
      <c r="F2" s="56" t="inlineStr">
        <is>
          <t xml:space="preserve">ironing, average, 1 min </t>
        </is>
      </c>
      <c r="G2" s="56" t="inlineStr">
        <is>
          <t>GLO</t>
        </is>
      </c>
      <c r="H2" s="56" t="inlineStr">
        <is>
          <t>Carbonfact</t>
        </is>
      </c>
      <c r="I2" s="56" t="n">
        <v>7.312477486811027e-05</v>
      </c>
      <c r="J2" s="56" t="n">
        <v>0.009751868728749127</v>
      </c>
      <c r="K2" s="56" t="n">
        <v>2.105553637147169e-05</v>
      </c>
      <c r="L2" s="56" t="n">
        <v>0.009702700799363539</v>
      </c>
      <c r="M2" s="56" t="n">
        <v>2.811239301411863e-05</v>
      </c>
      <c r="N2" s="56" t="n">
        <v>0.04233000396238125</v>
      </c>
      <c r="O2" s="56" t="n">
        <v>0.03843959618422302</v>
      </c>
      <c r="P2" s="56" t="n">
        <v>0.003890407778158224</v>
      </c>
      <c r="Q2" s="56" t="n">
        <v>0.2195520202832364</v>
      </c>
      <c r="R2" s="56" t="n">
        <v>8.66617903800856e-06</v>
      </c>
      <c r="S2" s="56" t="n">
        <v>9.097526133946343e-06</v>
      </c>
      <c r="T2" s="56" t="n">
        <v>8.339059991756011e-05</v>
      </c>
      <c r="U2" s="56" t="n">
        <v>5.486186380610299e-12</v>
      </c>
      <c r="V2" s="56" t="n">
        <v>2.477319091946206e-12</v>
      </c>
      <c r="W2" s="56" t="n">
        <v>3.008867288664092e-12</v>
      </c>
      <c r="X2" s="56" t="n">
        <v>1.858089963443398e-10</v>
      </c>
      <c r="Y2" s="56" t="n">
        <v>1.775867936488028e-10</v>
      </c>
      <c r="Z2" s="56" t="n">
        <v>8.222202695537001e-12</v>
      </c>
      <c r="AA2" s="56" t="n">
        <v>0.005740846499266844</v>
      </c>
      <c r="AB2" s="56" t="n">
        <v>0.04999468984002543</v>
      </c>
      <c r="AC2" s="56" t="n">
        <v>1.667507357715895e-07</v>
      </c>
      <c r="AD2" s="56" t="n">
        <v>1.795587489991946e-10</v>
      </c>
      <c r="AE2" s="56" t="n">
        <v>2.918978583576889e-10</v>
      </c>
      <c r="AF2" s="56" t="n">
        <v>2.901042547846448e-05</v>
      </c>
      <c r="AG2" s="56" t="n">
        <v>0.006454876514633831</v>
      </c>
    </row>
    <row r="3">
      <c r="A3" s="57" t="n">
        <v>1</v>
      </c>
      <c r="B3" s="56" t="inlineStr">
        <is>
          <t>washing, dry cleaning | washing, dry cleaning | GLO | kg garment
 | Carbonfact</t>
        </is>
      </c>
      <c r="C3" s="56" t="n">
        <v>1</v>
      </c>
      <c r="D3" s="56" t="inlineStr">
        <is>
          <t xml:space="preserve">kg garment
</t>
        </is>
      </c>
      <c r="E3" s="56" t="inlineStr">
        <is>
          <t>washing, dry cleaning</t>
        </is>
      </c>
      <c r="F3" s="56" t="inlineStr">
        <is>
          <t>washing, dry cleaning</t>
        </is>
      </c>
      <c r="G3" s="56" t="inlineStr">
        <is>
          <t>GLO</t>
        </is>
      </c>
      <c r="H3" s="56" t="inlineStr">
        <is>
          <t>Carbonfact</t>
        </is>
      </c>
      <c r="I3" s="56" t="n">
        <v>0.001459361428889058</v>
      </c>
      <c r="J3" s="56" t="n">
        <v>0.2423316359492681</v>
      </c>
      <c r="K3" s="56" t="n">
        <v>0.0004808811806052097</v>
      </c>
      <c r="L3" s="56" t="n">
        <v>0.241274731927922</v>
      </c>
      <c r="M3" s="56" t="n">
        <v>0.0005760228407408913</v>
      </c>
      <c r="N3" s="56" t="n">
        <v>0.9032297449267459</v>
      </c>
      <c r="O3" s="56" t="n">
        <v>0.8262275323638064</v>
      </c>
      <c r="P3" s="56" t="n">
        <v>0.07700221256293945</v>
      </c>
      <c r="Q3" s="56" t="n">
        <v>5.019558140217352</v>
      </c>
      <c r="R3" s="56" t="n">
        <v>0.0001486780241823139</v>
      </c>
      <c r="S3" s="56" t="n">
        <v>0.0002510563044968244</v>
      </c>
      <c r="T3" s="56" t="n">
        <v>0.002398228066789891</v>
      </c>
      <c r="U3" s="56" t="n">
        <v>4.867475895231179e-10</v>
      </c>
      <c r="V3" s="56" t="n">
        <v>5.84098863955795e-12</v>
      </c>
      <c r="W3" s="56" t="n">
        <v>4.809066008835599e-10</v>
      </c>
      <c r="X3" s="56" t="n">
        <v>3.742466877279607e-09</v>
      </c>
      <c r="Y3" s="56" t="n">
        <v>3.420375463871759e-09</v>
      </c>
      <c r="Z3" s="56" t="n">
        <v>3.220914134078492e-10</v>
      </c>
      <c r="AA3" s="56" t="n">
        <v>0.1235411664711307</v>
      </c>
      <c r="AB3" s="56" t="n">
        <v>0.6959753162920266</v>
      </c>
      <c r="AC3" s="56" t="n">
        <v>8.197801667894703e-07</v>
      </c>
      <c r="AD3" s="56" t="n">
        <v>3.364210578164123e-06</v>
      </c>
      <c r="AE3" s="56" t="n">
        <v>1.591420899940694e-08</v>
      </c>
      <c r="AF3" s="56" t="n">
        <v>0.0007535972647045103</v>
      </c>
      <c r="AG3" s="56" t="n">
        <v>0.1698592279911708</v>
      </c>
    </row>
    <row r="4">
      <c r="A4" s="57" t="n">
        <v>2</v>
      </c>
      <c r="B4" s="56" t="inlineStr">
        <is>
          <t>washing, average, 30°, liquid detergent | washing, average, 30°, liquid detergent | GLO | kg garment
 | Carbonfact</t>
        </is>
      </c>
      <c r="C4" s="56" t="n">
        <v>1</v>
      </c>
      <c r="D4" s="56" t="inlineStr">
        <is>
          <t xml:space="preserve">kg garment
</t>
        </is>
      </c>
      <c r="E4" s="56" t="inlineStr">
        <is>
          <t>washing, average, 30°, liquid detergent</t>
        </is>
      </c>
      <c r="F4" s="56" t="inlineStr">
        <is>
          <t>washing, average, 30°, liquid detergent</t>
        </is>
      </c>
      <c r="G4" s="56" t="inlineStr">
        <is>
          <t>GLO</t>
        </is>
      </c>
      <c r="H4" s="56" t="inlineStr">
        <is>
          <t>Carbonfact</t>
        </is>
      </c>
      <c r="I4" s="56" t="n">
        <v>0.0008241839959000643</v>
      </c>
      <c r="J4" s="56" t="n">
        <v>0.1282309251090159</v>
      </c>
      <c r="K4" s="56" t="n">
        <v>-0.00157587363463277</v>
      </c>
      <c r="L4" s="56" t="n">
        <v>0.1270359719913942</v>
      </c>
      <c r="M4" s="56" t="n">
        <v>0.002770826752254459</v>
      </c>
      <c r="N4" s="56" t="n">
        <v>-2.141513901148655</v>
      </c>
      <c r="O4" s="56" t="n">
        <v>-2.586468966260895</v>
      </c>
      <c r="P4" s="56" t="n">
        <v>0.4449550651122393</v>
      </c>
      <c r="Q4" s="56" t="n">
        <v>2.641436124133162</v>
      </c>
      <c r="R4" s="56" t="n">
        <v>3.78932145999568e-05</v>
      </c>
      <c r="S4" s="56" t="n">
        <v>-0.0003924922953461538</v>
      </c>
      <c r="T4" s="56" t="n">
        <v>0.001309800912516467</v>
      </c>
      <c r="U4" s="56" t="n">
        <v>9.612064272714734e-11</v>
      </c>
      <c r="V4" s="56" t="n">
        <v>3.182422402146684e-11</v>
      </c>
      <c r="W4" s="56" t="n">
        <v>6.429641870568049e-11</v>
      </c>
      <c r="X4" s="56" t="n">
        <v>1.460860445426313e-09</v>
      </c>
      <c r="Y4" s="56" t="n">
        <v>1.30581593172097e-09</v>
      </c>
      <c r="Z4" s="56" t="n">
        <v>1.550445137053426e-10</v>
      </c>
      <c r="AA4" s="56" t="n">
        <v>0.05493171363288877</v>
      </c>
      <c r="AB4" s="56" t="n">
        <v>1.213154134434029</v>
      </c>
      <c r="AC4" s="56" t="n">
        <v>2.619645730530798e-06</v>
      </c>
      <c r="AD4" s="56" t="n">
        <v>2.207423024937644e-09</v>
      </c>
      <c r="AE4" s="56" t="n">
        <v>5.777769764530252e-09</v>
      </c>
      <c r="AF4" s="56" t="n">
        <v>0.000440095403484324</v>
      </c>
      <c r="AG4" s="56" t="n">
        <v>0.1148078355390089</v>
      </c>
    </row>
    <row r="5">
      <c r="A5" s="57" t="n">
        <v>3</v>
      </c>
      <c r="B5" s="56" t="inlineStr">
        <is>
          <t>washing, average, 60°, powder detergent | washing, average, 60°, powder detergent | GLO | kg garment
 | Carbonfact</t>
        </is>
      </c>
      <c r="C5" s="56" t="n">
        <v>1</v>
      </c>
      <c r="D5" s="56" t="inlineStr">
        <is>
          <t xml:space="preserve">kg garment
</t>
        </is>
      </c>
      <c r="E5" s="56" t="inlineStr">
        <is>
          <t>washing, average, 60°, powder detergent</t>
        </is>
      </c>
      <c r="F5" s="56" t="inlineStr">
        <is>
          <t>washing, average, 60°, powder detergent</t>
        </is>
      </c>
      <c r="G5" s="56" t="inlineStr">
        <is>
          <t>GLO</t>
        </is>
      </c>
      <c r="H5" s="56" t="inlineStr">
        <is>
          <t>Carbonfact</t>
        </is>
      </c>
      <c r="I5" s="56" t="n">
        <v>0.00224923518996327</v>
      </c>
      <c r="J5" s="56" t="n">
        <v>0.3805752332256105</v>
      </c>
      <c r="K5" s="56" t="n">
        <v>0.0001288599089670823</v>
      </c>
      <c r="L5" s="56" t="n">
        <v>0.3788359090162103</v>
      </c>
      <c r="M5" s="56" t="n">
        <v>0.001610464300433132</v>
      </c>
      <c r="N5" s="56" t="n">
        <v>0.4295771625526118</v>
      </c>
      <c r="O5" s="56" t="n">
        <v>0.223296925377744</v>
      </c>
      <c r="P5" s="56" t="n">
        <v>0.206280237174868</v>
      </c>
      <c r="Q5" s="56" t="n">
        <v>8.013439249336393</v>
      </c>
      <c r="R5" s="56" t="n">
        <v>0.0002831501304822651</v>
      </c>
      <c r="S5" s="56" t="n">
        <v>0.0001569215137903442</v>
      </c>
      <c r="T5" s="56" t="n">
        <v>0.003357082491353964</v>
      </c>
      <c r="U5" s="56" t="n">
        <v>1.975350043458427e-10</v>
      </c>
      <c r="V5" s="56" t="n">
        <v>8.281434577491535e-11</v>
      </c>
      <c r="W5" s="56" t="n">
        <v>1.147206585709274e-10</v>
      </c>
      <c r="X5" s="56" t="n">
        <v>6.376170561901747e-09</v>
      </c>
      <c r="Y5" s="56" t="n">
        <v>6.030444246646415e-09</v>
      </c>
      <c r="Z5" s="56" t="n">
        <v>3.45726315255332e-10</v>
      </c>
      <c r="AA5" s="56" t="n">
        <v>0.1935347595092697</v>
      </c>
      <c r="AB5" s="56" t="n">
        <v>2.131524630899014</v>
      </c>
      <c r="AC5" s="56" t="n">
        <v>8.163872555416825e-06</v>
      </c>
      <c r="AD5" s="56" t="n">
        <v>7.163999220572789e-09</v>
      </c>
      <c r="AE5" s="56" t="n">
        <v>1.225013514346071e-08</v>
      </c>
      <c r="AF5" s="56" t="n">
        <v>0.001123796845194719</v>
      </c>
      <c r="AG5" s="56" t="n">
        <v>0.2297822813126116</v>
      </c>
    </row>
    <row r="6">
      <c r="A6" s="57" t="n">
        <v>4</v>
      </c>
      <c r="B6" s="56" t="inlineStr">
        <is>
          <t>washing, average, 60°, liquid detergent | washing, average, 60°, liquid detergent | GLO | kg garment
 | Carbonfact</t>
        </is>
      </c>
      <c r="C6" s="56" t="n">
        <v>1</v>
      </c>
      <c r="D6" s="56" t="inlineStr">
        <is>
          <t xml:space="preserve">kg garment
</t>
        </is>
      </c>
      <c r="E6" s="56" t="inlineStr">
        <is>
          <t>washing, average, 60°, liquid detergent</t>
        </is>
      </c>
      <c r="F6" s="56" t="inlineStr">
        <is>
          <t>washing, average, 60°, liquid detergent</t>
        </is>
      </c>
      <c r="G6" s="56" t="inlineStr">
        <is>
          <t>GLO</t>
        </is>
      </c>
      <c r="H6" s="56" t="inlineStr">
        <is>
          <t>Carbonfact</t>
        </is>
      </c>
      <c r="I6" s="56" t="n">
        <v>0.002066877782789863</v>
      </c>
      <c r="J6" s="56" t="n">
        <v>0.3415862993743449</v>
      </c>
      <c r="K6" s="56" t="n">
        <v>9.08890832627433e-05</v>
      </c>
      <c r="L6" s="56" t="n">
        <v>0.3380842120869464</v>
      </c>
      <c r="M6" s="56" t="n">
        <v>0.003411198204135803</v>
      </c>
      <c r="N6" s="56" t="n">
        <v>0.561995612366036</v>
      </c>
      <c r="O6" s="56" t="n">
        <v>0.03355390665153074</v>
      </c>
      <c r="P6" s="56" t="n">
        <v>0.5284417057145054</v>
      </c>
      <c r="Q6" s="56" t="n">
        <v>7.51562482329212</v>
      </c>
      <c r="R6" s="56" t="n">
        <v>0.0002687727873081625</v>
      </c>
      <c r="S6" s="56" t="n">
        <v>0.0001581399914161265</v>
      </c>
      <c r="T6" s="56" t="n">
        <v>0.00311301047595782</v>
      </c>
      <c r="U6" s="56" t="n">
        <v>1.682713418058045e-10</v>
      </c>
      <c r="V6" s="56" t="n">
        <v>7.803046967400676e-11</v>
      </c>
      <c r="W6" s="56" t="n">
        <v>9.024087213179771e-11</v>
      </c>
      <c r="X6" s="56" t="n">
        <v>6.12960908795335e-09</v>
      </c>
      <c r="Y6" s="56" t="n">
        <v>5.818375207255212e-09</v>
      </c>
      <c r="Z6" s="56" t="n">
        <v>3.112338806981386e-10</v>
      </c>
      <c r="AA6" s="56" t="n">
        <v>0.1891561815173319</v>
      </c>
      <c r="AB6" s="56" t="n">
        <v>2.318041173746171</v>
      </c>
      <c r="AC6" s="56" t="n">
        <v>5.465616798071418e-06</v>
      </c>
      <c r="AD6" s="56" t="n">
        <v>6.090213315979096e-09</v>
      </c>
      <c r="AE6" s="56" t="n">
        <v>1.026694226455245e-08</v>
      </c>
      <c r="AF6" s="56" t="n">
        <v>0.001019651084869765</v>
      </c>
      <c r="AG6" s="56" t="n">
        <v>0.2489804527253706</v>
      </c>
    </row>
    <row r="7">
      <c r="A7" s="57" t="n">
        <v>5</v>
      </c>
      <c r="B7" s="56" t="inlineStr">
        <is>
          <t>washing, average, 40°, powder detergent | washing, average, 40°, powder detergent | GLO | kg garment
 | Carbonfact</t>
        </is>
      </c>
      <c r="C7" s="56" t="n">
        <v>1</v>
      </c>
      <c r="D7" s="56" t="inlineStr">
        <is>
          <t xml:space="preserve">kg garment
</t>
        </is>
      </c>
      <c r="E7" s="56" t="inlineStr">
        <is>
          <t>washing, average, 40°, powder detergent</t>
        </is>
      </c>
      <c r="F7" s="56" t="inlineStr">
        <is>
          <t>washing, average, 40°, powder detergent</t>
        </is>
      </c>
      <c r="G7" s="56" t="inlineStr">
        <is>
          <t>GLO</t>
        </is>
      </c>
      <c r="H7" s="56" t="inlineStr">
        <is>
          <t>Carbonfact</t>
        </is>
      </c>
      <c r="I7" s="56" t="n">
        <v>0.001770963278917558</v>
      </c>
      <c r="J7" s="56" t="n">
        <v>0.2985777955803977</v>
      </c>
      <c r="K7" s="56" t="n">
        <v>-0.0003457499195631971</v>
      </c>
      <c r="L7" s="56" t="n">
        <v>0.297560629586846</v>
      </c>
      <c r="M7" s="56" t="n">
        <v>0.001362915913114901</v>
      </c>
      <c r="N7" s="56" t="n">
        <v>-0.3371761153360376</v>
      </c>
      <c r="O7" s="56" t="n">
        <v>-0.5110322074927877</v>
      </c>
      <c r="P7" s="56" t="n">
        <v>0.1738560921567499</v>
      </c>
      <c r="Q7" s="56" t="n">
        <v>6.131291231956112</v>
      </c>
      <c r="R7" s="56" t="n">
        <v>0.0001990693723745174</v>
      </c>
      <c r="S7" s="56" t="n">
        <v>-5.192974308403473e-06</v>
      </c>
      <c r="T7" s="56" t="n">
        <v>0.002670854567964359</v>
      </c>
      <c r="U7" s="56" t="n">
        <v>1.698560342400327e-10</v>
      </c>
      <c r="V7" s="56" t="n">
        <v>6.531356086405722e-11</v>
      </c>
      <c r="W7" s="56" t="n">
        <v>1.045424733759754e-10</v>
      </c>
      <c r="X7" s="56" t="n">
        <v>4.713657046473715e-09</v>
      </c>
      <c r="Y7" s="56" t="n">
        <v>4.427620261511034e-09</v>
      </c>
      <c r="Z7" s="56" t="n">
        <v>2.860367849626802e-10</v>
      </c>
      <c r="AA7" s="56" t="n">
        <v>0.1416437124837373</v>
      </c>
      <c r="AB7" s="56" t="n">
        <v>1.707748690248627</v>
      </c>
      <c r="AC7" s="56" t="n">
        <v>7.067657104899712e-06</v>
      </c>
      <c r="AD7" s="56" t="n">
        <v>5.667747107600443e-09</v>
      </c>
      <c r="AE7" s="56" t="n">
        <v>1.052959757865254e-08</v>
      </c>
      <c r="AF7" s="56" t="n">
        <v>0.0009013158766969727</v>
      </c>
      <c r="AG7" s="56" t="n">
        <v>0.1781607525495425</v>
      </c>
    </row>
    <row r="8">
      <c r="A8" s="57" t="n">
        <v>6</v>
      </c>
      <c r="B8" s="56" t="inlineStr">
        <is>
          <t>washing, average, 40°, liquid detergent | washing, average, 40°, liquid detergent | GLO | kg garment | Carbonfact</t>
        </is>
      </c>
      <c r="C8" s="56" t="n">
        <v>1</v>
      </c>
      <c r="D8" s="56" t="inlineStr">
        <is>
          <t>kg garment</t>
        </is>
      </c>
      <c r="E8" s="56" t="inlineStr">
        <is>
          <t>washing, average, 40°, liquid detergent</t>
        </is>
      </c>
      <c r="F8" s="56" t="inlineStr">
        <is>
          <t>washing, average, 40°, liquid detergent</t>
        </is>
      </c>
      <c r="G8" s="56" t="inlineStr">
        <is>
          <t>GLO</t>
        </is>
      </c>
      <c r="H8" s="56" t="inlineStr">
        <is>
          <t>Carbonfact</t>
        </is>
      </c>
      <c r="I8" s="56" t="n">
        <v>0.001588605874327645</v>
      </c>
      <c r="J8" s="56" t="n">
        <v>0.2595888612922162</v>
      </c>
      <c r="K8" s="56" t="n">
        <v>-0.0003837207454903956</v>
      </c>
      <c r="L8" s="56" t="n">
        <v>0.2568089322202909</v>
      </c>
      <c r="M8" s="56" t="n">
        <v>0.003163649817415673</v>
      </c>
      <c r="N8" s="56" t="n">
        <v>-0.2047576614072347</v>
      </c>
      <c r="O8" s="56" t="n">
        <v>-0.7007752223916196</v>
      </c>
      <c r="P8" s="56" t="n">
        <v>0.496017560984385</v>
      </c>
      <c r="Q8" s="56" t="n">
        <v>5.633476802367547</v>
      </c>
      <c r="R8" s="56" t="n">
        <v>0.0001846920291222988</v>
      </c>
      <c r="S8" s="56" t="n">
        <v>-3.974495674422053e-06</v>
      </c>
      <c r="T8" s="56" t="n">
        <v>0.002426782573353605</v>
      </c>
      <c r="U8" s="56" t="n">
        <v>1.405923716229401e-10</v>
      </c>
      <c r="V8" s="56" t="n">
        <v>6.052968463591905e-11</v>
      </c>
      <c r="W8" s="56" t="n">
        <v>8.006268698702106e-11</v>
      </c>
      <c r="X8" s="56" t="n">
        <v>4.467095561693867e-09</v>
      </c>
      <c r="Y8" s="56" t="n">
        <v>4.215551212404958e-09</v>
      </c>
      <c r="Z8" s="56" t="n">
        <v>2.51544349288909e-10</v>
      </c>
      <c r="AA8" s="56" t="n">
        <v>0.137265134352743</v>
      </c>
      <c r="AB8" s="56" t="n">
        <v>1.894265231515381</v>
      </c>
      <c r="AC8" s="56" t="n">
        <v>4.369401334537473e-06</v>
      </c>
      <c r="AD8" s="56" t="n">
        <v>4.593961206154443e-09</v>
      </c>
      <c r="AE8" s="56" t="n">
        <v>8.546404878414179e-09</v>
      </c>
      <c r="AF8" s="56" t="n">
        <v>0.0007971701198656272</v>
      </c>
      <c r="AG8" s="56" t="n">
        <v>0.1973589239072243</v>
      </c>
    </row>
    <row r="9">
      <c r="A9" s="57" t="n">
        <v>7</v>
      </c>
      <c r="B9" s="56" t="inlineStr">
        <is>
          <t>washing, average, 30°, powder detergent | washing, average, 30°, powder detergent | GLO | kg garment
 | Carbonfact</t>
        </is>
      </c>
      <c r="C9" s="56" t="n">
        <v>1</v>
      </c>
      <c r="D9" s="56" t="inlineStr">
        <is>
          <t xml:space="preserve">kg garment
</t>
        </is>
      </c>
      <c r="E9" s="56" t="inlineStr">
        <is>
          <t>washing, average, 30°, powder detergent</t>
        </is>
      </c>
      <c r="F9" s="56" t="inlineStr">
        <is>
          <t>washing, average, 30°, powder detergent</t>
        </is>
      </c>
      <c r="G9" s="56" t="inlineStr">
        <is>
          <t>GLO</t>
        </is>
      </c>
      <c r="H9" s="56" t="inlineStr">
        <is>
          <t>Carbonfact</t>
        </is>
      </c>
      <c r="I9" s="56" t="n">
        <v>0.001006541395284491</v>
      </c>
      <c r="J9" s="56" t="n">
        <v>0.1672198594348407</v>
      </c>
      <c r="K9" s="56" t="n">
        <v>-0.00153790280938482</v>
      </c>
      <c r="L9" s="56" t="n">
        <v>0.1677876693977714</v>
      </c>
      <c r="M9" s="56" t="n">
        <v>0.0009700928464540901</v>
      </c>
      <c r="N9" s="56" t="n">
        <v>-2.273932360195995</v>
      </c>
      <c r="O9" s="56" t="n">
        <v>-2.396725956386792</v>
      </c>
      <c r="P9" s="56" t="n">
        <v>0.1227935961907979</v>
      </c>
      <c r="Q9" s="56" t="n">
        <v>3.139250549554454</v>
      </c>
      <c r="R9" s="56" t="n">
        <v>5.227055773140967e-05</v>
      </c>
      <c r="S9" s="56" t="n">
        <v>-0.0003937107749909133</v>
      </c>
      <c r="T9" s="56" t="n">
        <v>0.001553872886469385</v>
      </c>
      <c r="U9" s="56" t="n">
        <v>1.253843052308341e-10</v>
      </c>
      <c r="V9" s="56" t="n">
        <v>3.660810013091201e-11</v>
      </c>
      <c r="W9" s="56" t="n">
        <v>8.87762050999221e-11</v>
      </c>
      <c r="X9" s="56" t="n">
        <v>1.707421916022861e-09</v>
      </c>
      <c r="Y9" s="56" t="n">
        <v>1.517884967410977e-09</v>
      </c>
      <c r="Z9" s="56" t="n">
        <v>1.895369486118825e-10</v>
      </c>
      <c r="AA9" s="56" t="n">
        <v>0.0593102916247262</v>
      </c>
      <c r="AB9" s="56" t="n">
        <v>1.026637289258838</v>
      </c>
      <c r="AC9" s="56" t="n">
        <v>5.317901484905307e-06</v>
      </c>
      <c r="AD9" s="56" t="n">
        <v>3.281208921497819e-09</v>
      </c>
      <c r="AE9" s="56" t="n">
        <v>7.76096229084435e-09</v>
      </c>
      <c r="AF9" s="56" t="n">
        <v>0.0005442411566423078</v>
      </c>
      <c r="AG9" s="56" t="n">
        <v>0.0956096641543308</v>
      </c>
    </row>
    <row r="10">
      <c r="A10" s="57" t="n">
        <v>8</v>
      </c>
      <c r="B10" s="56" t="inlineStr">
        <is>
          <t>hand washing, powder detergent | hand washing, powder detergent | GLO | kg garment
 | Carbonfact</t>
        </is>
      </c>
      <c r="C10" s="56" t="n">
        <v>1</v>
      </c>
      <c r="D10" s="56" t="inlineStr">
        <is>
          <t xml:space="preserve">kg garment
</t>
        </is>
      </c>
      <c r="E10" s="56" t="inlineStr">
        <is>
          <t>hand washing, powder detergent</t>
        </is>
      </c>
      <c r="F10" s="56" t="inlineStr">
        <is>
          <t>hand washing, powder detergent</t>
        </is>
      </c>
      <c r="G10" s="56" t="inlineStr">
        <is>
          <t>GLO</t>
        </is>
      </c>
      <c r="H10" s="56" t="inlineStr">
        <is>
          <t>Carbonfact</t>
        </is>
      </c>
      <c r="I10" s="56" t="n">
        <v>0.0006565909257261877</v>
      </c>
      <c r="J10" s="56" t="n">
        <v>0.1158720561372159</v>
      </c>
      <c r="K10" s="56" t="n">
        <v>-7.884328444245875e-05</v>
      </c>
      <c r="L10" s="56" t="n">
        <v>0.1150898431196822</v>
      </c>
      <c r="M10" s="56" t="n">
        <v>0.0008610563019761893</v>
      </c>
      <c r="N10" s="56" t="n">
        <v>-0.01006777100984174</v>
      </c>
      <c r="O10" s="56" t="n">
        <v>-0.1136315429338692</v>
      </c>
      <c r="P10" s="56" t="n">
        <v>0.1035637719240274</v>
      </c>
      <c r="Q10" s="56" t="n">
        <v>2.138202100135982</v>
      </c>
      <c r="R10" s="56" t="n">
        <v>6.109729363313753e-05</v>
      </c>
      <c r="S10" s="56" t="n">
        <v>2.092163496636274e-05</v>
      </c>
      <c r="T10" s="56" t="n">
        <v>0.001115812142333619</v>
      </c>
      <c r="U10" s="56" t="n">
        <v>7.842526338267993e-11</v>
      </c>
      <c r="V10" s="56" t="n">
        <v>1.935789618918527e-11</v>
      </c>
      <c r="W10" s="56" t="n">
        <v>5.906736719349465e-11</v>
      </c>
      <c r="X10" s="56" t="n">
        <v>1.319426078153101e-09</v>
      </c>
      <c r="Y10" s="56" t="n">
        <v>1.216775197062474e-09</v>
      </c>
      <c r="Z10" s="56" t="n">
        <v>1.026508810906271e-10</v>
      </c>
      <c r="AA10" s="56" t="n">
        <v>0.04155993444135569</v>
      </c>
      <c r="AB10" s="56" t="n">
        <v>0.7807041273075805</v>
      </c>
      <c r="AC10" s="56" t="n">
        <v>3.654317572915579e-06</v>
      </c>
      <c r="AD10" s="56" t="n">
        <v>2.591755111946165e-09</v>
      </c>
      <c r="AE10" s="56" t="n">
        <v>4.626349987605868e-09</v>
      </c>
      <c r="AF10" s="56" t="n">
        <v>0.0003762945539285599</v>
      </c>
      <c r="AG10" s="56" t="n">
        <v>0.07063788124124062</v>
      </c>
    </row>
    <row r="11">
      <c r="A11" s="57" t="n">
        <v>9</v>
      </c>
      <c r="B11" s="56" t="inlineStr">
        <is>
          <t>hand washing, liquid detergent | hand washing, liquid detergent | GLO | kg garment | Carbonfact</t>
        </is>
      </c>
      <c r="C11" s="56" t="n">
        <v>1</v>
      </c>
      <c r="D11" s="56" t="inlineStr">
        <is>
          <t>kg garment</t>
        </is>
      </c>
      <c r="E11" s="56" t="inlineStr">
        <is>
          <t>hand washing, liquid detergent</t>
        </is>
      </c>
      <c r="F11" s="56" t="inlineStr">
        <is>
          <t>hand washing, liquid detergent</t>
        </is>
      </c>
      <c r="G11" s="56" t="inlineStr">
        <is>
          <t>GLO</t>
        </is>
      </c>
      <c r="H11" s="56" t="inlineStr">
        <is>
          <t>Carbonfact</t>
        </is>
      </c>
      <c r="I11" s="56" t="n">
        <v>0.0004742335225557275</v>
      </c>
      <c r="J11" s="56" t="n">
        <v>0.07688312165671173</v>
      </c>
      <c r="K11" s="56" t="n">
        <v>-0.0001168141098120716</v>
      </c>
      <c r="L11" s="56" t="n">
        <v>0.07433814555893709</v>
      </c>
      <c r="M11" s="56" t="n">
        <v>0.002661790207586716</v>
      </c>
      <c r="N11" s="56" t="n">
        <v>0.122350684851788</v>
      </c>
      <c r="O11" s="56" t="n">
        <v>-0.3033745560732451</v>
      </c>
      <c r="P11" s="56" t="n">
        <v>0.4257252409250332</v>
      </c>
      <c r="Q11" s="56" t="n">
        <v>1.640387670851193</v>
      </c>
      <c r="R11" s="56" t="n">
        <v>4.671995029022835e-05</v>
      </c>
      <c r="S11" s="56" t="n">
        <v>2.214011388896543e-05</v>
      </c>
      <c r="T11" s="56" t="n">
        <v>0.0008717401582449792</v>
      </c>
      <c r="U11" s="56" t="n">
        <v>4.916160055535675e-11</v>
      </c>
      <c r="V11" s="56" t="n">
        <v>1.457401986259016e-11</v>
      </c>
      <c r="W11" s="56" t="n">
        <v>3.458758069276659e-11</v>
      </c>
      <c r="X11" s="56" t="n">
        <v>1.072864587797267e-09</v>
      </c>
      <c r="Y11" s="56" t="n">
        <v>1.004706142745809e-09</v>
      </c>
      <c r="Z11" s="56" t="n">
        <v>6.81584450514577e-11</v>
      </c>
      <c r="AA11" s="56" t="n">
        <v>0.03718135639974582</v>
      </c>
      <c r="AB11" s="56" t="n">
        <v>0.9672208778272235</v>
      </c>
      <c r="AC11" s="56" t="n">
        <v>9.560617968010005e-07</v>
      </c>
      <c r="AD11" s="56" t="n">
        <v>1.517969211385279e-09</v>
      </c>
      <c r="AE11" s="56" t="n">
        <v>2.643157385247982e-09</v>
      </c>
      <c r="AF11" s="56" t="n">
        <v>0.0002721487987606882</v>
      </c>
      <c r="AG11" s="56" t="n">
        <v>0.08983605256274479</v>
      </c>
    </row>
    <row r="12">
      <c r="A12" s="57" t="n">
        <v>10</v>
      </c>
      <c r="B12" s="56" t="inlineStr">
        <is>
          <t>tumble drying, cotton, closet dry, tshirt | tumble drying, cotton, closet dry | GLO | kg garment
 | Carbonfact</t>
        </is>
      </c>
      <c r="C12" s="56" t="n">
        <v>1</v>
      </c>
      <c r="D12" s="56" t="inlineStr">
        <is>
          <t xml:space="preserve">kg garment
</t>
        </is>
      </c>
      <c r="E12" s="56" t="inlineStr">
        <is>
          <t>tumble drying, cotton, closet dry, tshirt</t>
        </is>
      </c>
      <c r="F12" s="56" t="inlineStr">
        <is>
          <t>tumble drying, cotton, closet dry</t>
        </is>
      </c>
      <c r="G12" s="56" t="inlineStr">
        <is>
          <t>GLO</t>
        </is>
      </c>
      <c r="H12" s="56" t="inlineStr">
        <is>
          <t>Carbonfact</t>
        </is>
      </c>
      <c r="I12" s="56" t="n">
        <v>0.002053152866090296</v>
      </c>
      <c r="J12" s="56" t="n">
        <v>0.3340689850910294</v>
      </c>
      <c r="K12" s="56" t="n">
        <v>0.000750731580173397</v>
      </c>
      <c r="L12" s="56" t="n">
        <v>0.3323458019789778</v>
      </c>
      <c r="M12" s="56" t="n">
        <v>0.0009724515318782662</v>
      </c>
      <c r="N12" s="56" t="n">
        <v>1.554448623157272</v>
      </c>
      <c r="O12" s="56" t="n">
        <v>1.421825666179819</v>
      </c>
      <c r="P12" s="56" t="n">
        <v>0.1326229569774534</v>
      </c>
      <c r="Q12" s="56" t="n">
        <v>7.444396276509053</v>
      </c>
      <c r="R12" s="56" t="n">
        <v>0.0003116400701856765</v>
      </c>
      <c r="S12" s="56" t="n">
        <v>0.0003166612002430927</v>
      </c>
      <c r="T12" s="56" t="n">
        <v>0.002916793044691353</v>
      </c>
      <c r="U12" s="56" t="n">
        <v>2.805786921984816e-10</v>
      </c>
      <c r="V12" s="56" t="n">
        <v>8.60020856462334e-11</v>
      </c>
      <c r="W12" s="56" t="n">
        <v>1.945766065522483e-10</v>
      </c>
      <c r="X12" s="56" t="n">
        <v>7.172238603493003e-09</v>
      </c>
      <c r="Y12" s="56" t="n">
        <v>6.854523918713561e-09</v>
      </c>
      <c r="Z12" s="56" t="n">
        <v>3.177146847794401e-10</v>
      </c>
      <c r="AA12" s="56" t="n">
        <v>0.1984295443707831</v>
      </c>
      <c r="AB12" s="56" t="n">
        <v>1.804027178925322</v>
      </c>
      <c r="AC12" s="56" t="n">
        <v>9.060799744537421e-06</v>
      </c>
      <c r="AD12" s="56" t="n">
        <v>6.960997736688122e-09</v>
      </c>
      <c r="AE12" s="56" t="n">
        <v>8.897256862521309e-09</v>
      </c>
      <c r="AF12" s="56" t="n">
        <v>0.0009518732865171449</v>
      </c>
      <c r="AG12" s="56" t="n">
        <v>0.2031926634010938</v>
      </c>
    </row>
    <row r="13">
      <c r="A13" s="57" t="n">
        <v>11</v>
      </c>
      <c r="B13" s="56" t="inlineStr">
        <is>
          <t>tumble drying, cotton, iron dry, tshirt | tumble drying, cotton, iron dry | GLO | kg garment
 | Carbonfact</t>
        </is>
      </c>
      <c r="C13" s="56" t="n">
        <v>1</v>
      </c>
      <c r="D13" s="56" t="inlineStr">
        <is>
          <t xml:space="preserve">kg garment
</t>
        </is>
      </c>
      <c r="E13" s="56" t="inlineStr">
        <is>
          <t>tumble drying, cotton, iron dry, tshirt</t>
        </is>
      </c>
      <c r="F13" s="56" t="inlineStr">
        <is>
          <t>tumble drying, cotton, iron dry</t>
        </is>
      </c>
      <c r="G13" s="56" t="inlineStr">
        <is>
          <t>GLO</t>
        </is>
      </c>
      <c r="H13" s="56" t="inlineStr">
        <is>
          <t>Carbonfact</t>
        </is>
      </c>
      <c r="I13" s="56" t="n">
        <v>0.001312662918693969</v>
      </c>
      <c r="J13" s="56" t="n">
        <v>0.2074359415970451</v>
      </c>
      <c r="K13" s="56" t="n">
        <v>0.0004675599264950774</v>
      </c>
      <c r="L13" s="56" t="n">
        <v>0.2063822081148265</v>
      </c>
      <c r="M13" s="56" t="n">
        <v>0.0005861735557235102</v>
      </c>
      <c r="N13" s="56" t="n">
        <v>1.108219630340026</v>
      </c>
      <c r="O13" s="56" t="n">
        <v>1.026578118668785</v>
      </c>
      <c r="P13" s="56" t="n">
        <v>0.08164151167124124</v>
      </c>
      <c r="Q13" s="56" t="n">
        <v>4.513231004841364</v>
      </c>
      <c r="R13" s="56" t="n">
        <v>0.0001943738474665945</v>
      </c>
      <c r="S13" s="56" t="n">
        <v>0.0002004815675685596</v>
      </c>
      <c r="T13" s="56" t="n">
        <v>0.001875528822407886</v>
      </c>
      <c r="U13" s="56" t="n">
        <v>2.380332364464151e-10</v>
      </c>
      <c r="V13" s="56" t="n">
        <v>5.971108448273927e-11</v>
      </c>
      <c r="W13" s="56" t="n">
        <v>1.783221519636758e-10</v>
      </c>
      <c r="X13" s="56" t="n">
        <v>4.964715591071208e-09</v>
      </c>
      <c r="Y13" s="56" t="n">
        <v>4.738291820609986e-09</v>
      </c>
      <c r="Z13" s="56" t="n">
        <v>2.264237704612209e-10</v>
      </c>
      <c r="AA13" s="56" t="n">
        <v>0.1174438155166234</v>
      </c>
      <c r="AB13" s="56" t="n">
        <v>1.151824085587174</v>
      </c>
      <c r="AC13" s="56" t="n">
        <v>7.360687539900501e-06</v>
      </c>
      <c r="AD13" s="56" t="n">
        <v>4.639110485342271e-09</v>
      </c>
      <c r="AE13" s="56" t="n">
        <v>6.255864056890465e-09</v>
      </c>
      <c r="AF13" s="56" t="n">
        <v>0.0006090173293059434</v>
      </c>
      <c r="AG13" s="56" t="n">
        <v>0.1233093916675078</v>
      </c>
    </row>
    <row r="14">
      <c r="A14" s="57" t="n">
        <v>12</v>
      </c>
      <c r="B14" s="56" t="inlineStr">
        <is>
          <t>tumble drying, synthetics, closet dry, tshirt | tumble drying, synthetics, closet dry | GLO | kg garment
 | Carbonfact</t>
        </is>
      </c>
      <c r="C14" s="56" t="n">
        <v>1</v>
      </c>
      <c r="D14" s="56" t="inlineStr">
        <is>
          <t xml:space="preserve">kg garment
</t>
        </is>
      </c>
      <c r="E14" s="56" t="inlineStr">
        <is>
          <t>tumble drying, synthetics, closet dry, tshirt</t>
        </is>
      </c>
      <c r="F14" s="56" t="inlineStr">
        <is>
          <t>tumble drying, synthetics, closet dry</t>
        </is>
      </c>
      <c r="G14" s="56" t="inlineStr">
        <is>
          <t>GLO</t>
        </is>
      </c>
      <c r="H14" s="56" t="inlineStr">
        <is>
          <t>Carbonfact</t>
        </is>
      </c>
      <c r="I14" s="56" t="n">
        <v>0.0008896876010744286</v>
      </c>
      <c r="J14" s="56" t="n">
        <v>0.1361672368055233</v>
      </c>
      <c r="K14" s="56" t="n">
        <v>0.0003079604934276822</v>
      </c>
      <c r="L14" s="56" t="n">
        <v>0.1354875874091411</v>
      </c>
      <c r="M14" s="56" t="n">
        <v>0.0003716889029545541</v>
      </c>
      <c r="N14" s="56" t="n">
        <v>0.8335046661218973</v>
      </c>
      <c r="O14" s="56" t="n">
        <v>0.7804384542605234</v>
      </c>
      <c r="P14" s="56" t="n">
        <v>0.05306621186137402</v>
      </c>
      <c r="Q14" s="56" t="n">
        <v>2.881596826999524</v>
      </c>
      <c r="R14" s="56" t="n">
        <v>0.0001282341633701763</v>
      </c>
      <c r="S14" s="56" t="n">
        <v>0.0001344604338814656</v>
      </c>
      <c r="T14" s="56" t="n">
        <v>0.001278892886902443</v>
      </c>
      <c r="U14" s="56" t="n">
        <v>2.035675314708353e-10</v>
      </c>
      <c r="V14" s="56" t="n">
        <v>4.387432836375836e-11</v>
      </c>
      <c r="W14" s="56" t="n">
        <v>1.596932031070769e-10</v>
      </c>
      <c r="X14" s="56" t="n">
        <v>3.638040627418915e-09</v>
      </c>
      <c r="Y14" s="56" t="n">
        <v>3.467800193728117e-09</v>
      </c>
      <c r="Z14" s="56" t="n">
        <v>1.702404336907975e-10</v>
      </c>
      <c r="AA14" s="56" t="n">
        <v>0.07281640025993777</v>
      </c>
      <c r="AB14" s="56" t="n">
        <v>0.7795493190089806</v>
      </c>
      <c r="AC14" s="56" t="n">
        <v>6.117884843914783e-06</v>
      </c>
      <c r="AD14" s="56" t="n">
        <v>3.280130620205684e-09</v>
      </c>
      <c r="AE14" s="56" t="n">
        <v>4.648731249673571e-09</v>
      </c>
      <c r="AF14" s="56" t="n">
        <v>0.0004130971591940041</v>
      </c>
      <c r="AG14" s="56" t="n">
        <v>0.07882296783480586</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F18" sqref="F18"/>
    </sheetView>
  </sheetViews>
  <sheetFormatPr baseColWidth="10" defaultRowHeight="16"/>
  <cols>
    <col width="27" bestFit="1" customWidth="1" style="80" min="1" max="1"/>
    <col width="17.1640625" bestFit="1" customWidth="1" style="80" min="2" max="2"/>
    <col width="18.1640625" bestFit="1" customWidth="1" style="80" min="3" max="3"/>
    <col width="17.6640625" bestFit="1" customWidth="1" style="80" min="4" max="4"/>
    <col width="34" bestFit="1" customWidth="1" style="80" min="5" max="6"/>
  </cols>
  <sheetData>
    <row r="1" ht="45" customHeight="1" s="80">
      <c r="A1" s="66" t="inlineStr">
        <is>
          <t>skip</t>
        </is>
      </c>
      <c r="D1" s="65" t="n"/>
      <c r="E1" s="67" t="inlineStr">
        <is>
          <t xml:space="preserve">Impact score for climate change for washing datasets presented in this file. </t>
        </is>
      </c>
      <c r="F1" s="65" t="n"/>
      <c r="H1" s="79" t="n"/>
    </row>
    <row r="2" ht="32" customHeight="1" s="80">
      <c r="A2" s="59" t="inlineStr">
        <is>
          <t>base_name</t>
        </is>
      </c>
      <c r="B2" s="59" t="inlineStr">
        <is>
          <t>climate_change_unit</t>
        </is>
      </c>
      <c r="C2" s="59" t="inlineStr">
        <is>
          <t>climate_change_value</t>
        </is>
      </c>
      <c r="D2" s="68" t="inlineStr">
        <is>
          <t>Difference; 
Column E - Column C</t>
        </is>
      </c>
      <c r="E2" s="60" t="inlineStr">
        <is>
          <t>EF v3.1 | climate change | global warming potential (GWP100)</t>
        </is>
      </c>
      <c r="F2" s="61" t="inlineStr">
        <is>
          <t>activity name</t>
        </is>
      </c>
      <c r="H2" s="81" t="inlineStr">
        <is>
          <t>Short explanation of why the climate change impact scores differ from the EF3.1 database values, based on what EF3.1 mentions/assumes</t>
        </is>
      </c>
    </row>
    <row r="3">
      <c r="A3" s="73" t="inlineStr">
        <is>
          <t>washing, 40°, average</t>
        </is>
      </c>
      <c r="B3" s="69" t="inlineStr">
        <is>
          <t>kgCO2eq/kg</t>
        </is>
      </c>
      <c r="C3" s="91" t="n">
        <v>0.1418247298</v>
      </c>
      <c r="D3" s="92">
        <f>E3-$C$3</f>
        <v/>
      </c>
      <c r="E3" s="93" t="n">
        <v>0.298577795580398</v>
      </c>
      <c r="F3" s="73" t="inlineStr">
        <is>
          <t>washing, average, 40°, powder detergent</t>
        </is>
      </c>
      <c r="H3" t="inlineStr">
        <is>
          <t>The differences mainly stem from assumptions on cycle duration, load size, and detergent modelling.
Difference may be due to:
- EF3.1 uses a duration of 131-193 min, whereas this assessment uses 140 min based on the program specific value from the washing machien user manual 
- EF3.1 does not specify load size, but likely assumes a full load, while this dataset applies consumer-based load factors
- EF3.1 does not distinguish detergent type 
- EF3.1 includes fabric softener</t>
        </is>
      </c>
    </row>
    <row r="4">
      <c r="A4" s="74" t="n"/>
      <c r="B4" s="70" t="n"/>
      <c r="C4" s="94" t="n"/>
      <c r="D4" s="92">
        <f>E4-$C$3</f>
        <v/>
      </c>
      <c r="E4" s="95" t="n">
        <v>0.2595888612922162</v>
      </c>
      <c r="F4" s="74" t="inlineStr">
        <is>
          <t>washing, average, 40°, liquid detergent</t>
        </is>
      </c>
      <c r="H4" t="inlineStr">
        <is>
          <t>See above</t>
        </is>
      </c>
    </row>
    <row r="5">
      <c r="A5" s="73" t="inlineStr">
        <is>
          <t>washing, 60°, average</t>
        </is>
      </c>
      <c r="B5" s="69" t="inlineStr">
        <is>
          <t>kgCO2eq/kg</t>
        </is>
      </c>
      <c r="C5" s="91" t="n">
        <v>0.1786234533</v>
      </c>
      <c r="D5" s="92">
        <f>E5-$C$5</f>
        <v/>
      </c>
      <c r="E5" s="93" t="n">
        <v>0.3805752332256105</v>
      </c>
      <c r="F5" s="73" t="inlineStr">
        <is>
          <t>washing, average, 60°, powder detergent</t>
        </is>
      </c>
      <c r="H5" t="inlineStr">
        <is>
          <t>The differences mainly stem from assumptions on cycle duration, load size, and detergent modelling.
Difference may be due to:
- EF3.1 uses a duration of 128-175 min, whereas this assessment uses 220 min based on the program specific value from the washing machine user manual 
- EF3.1 does not specify load size, but likely assumes a full load, while this dataset applies consumer-based load factors
- EF3.1 does not distinguish detergent type 
- EF3.1 includes fabric softener</t>
        </is>
      </c>
    </row>
    <row r="6">
      <c r="A6" s="74" t="n"/>
      <c r="B6" s="70" t="n"/>
      <c r="C6" s="94" t="n"/>
      <c r="D6" s="92">
        <f>E6-$C$5</f>
        <v/>
      </c>
      <c r="E6" s="95" t="n">
        <v>0.3415862993743449</v>
      </c>
      <c r="F6" s="74" t="inlineStr">
        <is>
          <t>washing, average, 60°, liquid detergent</t>
        </is>
      </c>
      <c r="H6" t="inlineStr">
        <is>
          <t>See above</t>
        </is>
      </c>
    </row>
    <row r="7">
      <c r="A7" s="75" t="inlineStr">
        <is>
          <t>washing,dry cleaning</t>
        </is>
      </c>
      <c r="B7" s="71" t="inlineStr">
        <is>
          <t>kgCO2eq/kg</t>
        </is>
      </c>
      <c r="C7" s="96" t="n">
        <v>0.2711113095</v>
      </c>
      <c r="D7" s="92">
        <f>E7-C7</f>
        <v/>
      </c>
      <c r="E7" s="97" t="n">
        <v>0.2423316359492681</v>
      </c>
      <c r="F7" s="75" t="inlineStr">
        <is>
          <t>washing, dry cleaning</t>
        </is>
      </c>
      <c r="H7" t="inlineStr">
        <is>
          <t xml:space="preserve">The differences mainly stem from assumptions on solvent losses, electricity use, and process detail.
Differences may be due to:
- EF3.1 models a closed-loop PERC system with incomplete recycling, including solvent losses to both air and wastewater, whereas this assessment assumes all PERC becomes hazardous waste.
- EF3.1 includes additional process steps (solvent distillation, deodorisation, heated drying, lubrication), while this dataset simplifies the process to electricity use + PERC consumption
- EF3.1 includes infrastructure impacts, while this dataset only includes upstream impacts from PERC production, electricity production, and hazardous waste treatment
- EF3.1 models ongoing solvent recycling, which lowers the amount of new PERC required, whereas this dataset assumes single-use PERC
</t>
        </is>
      </c>
    </row>
    <row r="8">
      <c r="A8" s="75" t="inlineStr">
        <is>
          <t>ironing, average, 1 min</t>
        </is>
      </c>
      <c r="B8" s="71" t="inlineStr">
        <is>
          <t>kgCO2eq/kg.min</t>
        </is>
      </c>
      <c r="C8" s="96" t="n">
        <v>0.01286341049</v>
      </c>
      <c r="D8" s="92">
        <f>E8-C8</f>
        <v/>
      </c>
      <c r="E8" s="97" t="n">
        <v>0.009751868728749127</v>
      </c>
      <c r="F8" s="75" t="inlineStr">
        <is>
          <t xml:space="preserve">ironing, average, 1 min </t>
        </is>
      </c>
      <c r="H8" t="inlineStr">
        <is>
          <t>The differences mainly stem from assumptions on appliance modelling and electricity use. 
Difference may be due to:
- EF3.1 does not include appliance impacts, whereas this assessment includes the production and disposal of an electric iron (modelled using an electric kettle as a proxy).
- EF3.1 does not specify electricity consumption. This assessment uses 0.027 kWh per minute based on literature values, which may differ from EF3.1’s internal assumptions.</t>
        </is>
      </c>
    </row>
    <row r="9">
      <c r="A9" s="77" t="inlineStr">
        <is>
          <t>washing, 30°, average</t>
        </is>
      </c>
      <c r="B9" s="69" t="inlineStr">
        <is>
          <t>kgCO2eq/kg</t>
        </is>
      </c>
      <c r="C9" s="91" t="n">
        <v>0.1174858414</v>
      </c>
      <c r="D9" s="92">
        <f>E9-$C$9</f>
        <v/>
      </c>
      <c r="E9" s="93" t="n">
        <v>0.1282309251090159</v>
      </c>
      <c r="F9" s="73" t="inlineStr">
        <is>
          <t>washing, average, 30°, liquid detergent</t>
        </is>
      </c>
      <c r="H9" t="inlineStr">
        <is>
          <t>The differences mainly stem from assumptions on cycle duration, load size, and detergent modelling.
Difference may be due to:
- EF3.1 uses a duration of 131-193 min, proxied from 40°C warm-water cycle duration where this assessment uses 75 min from based on the program value from the washing machien user manual 
- EF3.1 does not specify load size, but is likely to always assume full load, which this dataset does not. 
- EF3.1 does not consider detergent type differences
- EF3.1 includes fabric softener</t>
        </is>
      </c>
    </row>
    <row r="10">
      <c r="A10" s="74" t="n"/>
      <c r="B10" s="70" t="n"/>
      <c r="C10" s="94" t="n"/>
      <c r="D10" s="92">
        <f>E10-$C$9</f>
        <v/>
      </c>
      <c r="E10" s="95" t="n">
        <v>0.1672198594348407</v>
      </c>
      <c r="F10" s="74" t="inlineStr">
        <is>
          <t>washing, average, 30°, powder detergent</t>
        </is>
      </c>
      <c r="H10" t="inlineStr">
        <is>
          <t>See above</t>
        </is>
      </c>
    </row>
    <row r="11">
      <c r="A11" s="73" t="inlineStr">
        <is>
          <t>handwashing</t>
        </is>
      </c>
      <c r="B11" s="69" t="inlineStr">
        <is>
          <t>kgCO2eq/kg</t>
        </is>
      </c>
      <c r="C11" s="91" t="n">
        <v>0.1648093852</v>
      </c>
      <c r="D11" s="92">
        <f>E11-$C$11</f>
        <v/>
      </c>
      <c r="E11" s="93" t="n">
        <v>0.1158720561372159</v>
      </c>
      <c r="F11" s="73" t="inlineStr">
        <is>
          <t>hand washing, powder detergent</t>
        </is>
      </c>
      <c r="H11" t="inlineStr">
        <is>
          <t xml:space="preserve">The differences mainly stem from assumptions on electricity for water heating, water quantity, detergent dosage, and remaining moisture.
Differences may be due to:
- EF3.1 uses an average warm-water temperature of ~34.5 °C. This assessment uses ~31.6 °C.
- EF3.1s more detailed description of multi-stage rinsing may implicitly include higher resource use per wash. As an example, this dataset uses 7.1 L/kg, while EF3.1s water amount is not stated it may assume larger basin volumes or multiple rinses, consistent with its procedural description (soak → wash → rinse → repeat → final rinse).
- EF3.1 may assume different detergent quantities
- This dataset uses 50% moisture uptake, affecting wastewater calculation and therefore chemical emissions and treatment burdens. EF3.1 may use a different assumption or may not adjust for moisture retention, leading to slightly different wastewater volumes and chemical emissions.
</t>
        </is>
      </c>
    </row>
    <row r="12">
      <c r="A12" s="74" t="n"/>
      <c r="B12" s="70" t="n"/>
      <c r="C12" s="94" t="n"/>
      <c r="D12" s="92">
        <f>E12-$C$11</f>
        <v/>
      </c>
      <c r="E12" s="95" t="n">
        <v>0.07688312165671173</v>
      </c>
      <c r="F12" s="74" t="inlineStr">
        <is>
          <t>hand washing, liquid detergent</t>
        </is>
      </c>
      <c r="H12" t="inlineStr">
        <is>
          <t>See above</t>
        </is>
      </c>
    </row>
    <row r="13">
      <c r="A13" s="73" t="inlineStr">
        <is>
          <t>tumble drying</t>
        </is>
      </c>
      <c r="B13" s="69" t="inlineStr">
        <is>
          <t>kgCO2eq/kg</t>
        </is>
      </c>
      <c r="C13" s="91" t="n">
        <v>0.2300868469</v>
      </c>
      <c r="D13" s="92">
        <f>E13-$C$13</f>
        <v/>
      </c>
      <c r="E13" s="93" t="n">
        <v>0.3340689850910294</v>
      </c>
      <c r="F13" s="73" t="inlineStr">
        <is>
          <t>tumble drying, cotton, closet dry</t>
        </is>
      </c>
      <c r="H13" t="inlineStr">
        <is>
          <t>The differences mainly stem from assumptions on electricity consumption, program duration, load size, and remaining moisture.
Differences may be due to: 
- EF3.1 uses a generic condenser dryer model and likely assumes an average energy use or different cycle times. This assessment uses program-specific values.
- EF3.1 likely uses a different standard or an average load. This assessment uses program-specific values.
- This dataset includes passive electricity (0.13 W) and allocates the dryer production/disposal over lifetime; EF3.1 also states infrastructure is included but may use different lifetime, annual use, or passive-power assumptions.</t>
        </is>
      </c>
    </row>
    <row r="14">
      <c r="A14" s="76" t="n"/>
      <c r="B14" s="72" t="n"/>
      <c r="C14" s="98" t="n"/>
      <c r="D14" s="92">
        <f>E14-$C$13</f>
        <v/>
      </c>
      <c r="E14" s="99" t="n">
        <v>0.2074359415970451</v>
      </c>
      <c r="F14" s="76" t="inlineStr">
        <is>
          <t>tumble drying, cotton, iron dry</t>
        </is>
      </c>
      <c r="H14" t="inlineStr">
        <is>
          <t>See above</t>
        </is>
      </c>
    </row>
    <row r="15">
      <c r="A15" s="78" t="n"/>
      <c r="B15" s="70" t="n"/>
      <c r="C15" s="94" t="n"/>
      <c r="D15" s="92">
        <f>E15-$C$13</f>
        <v/>
      </c>
      <c r="E15" s="95" t="n">
        <v>0.1361672368055233</v>
      </c>
      <c r="F15" s="74" t="inlineStr">
        <is>
          <t>tumble drying, synthetics, closet dry</t>
        </is>
      </c>
      <c r="H15" t="inlineStr">
        <is>
          <t>See above</t>
        </is>
      </c>
    </row>
    <row r="16">
      <c r="A16" s="75" t="inlineStr">
        <is>
          <t>waxing</t>
        </is>
      </c>
      <c r="B16" s="71" t="inlineStr">
        <is>
          <t>kgCO2eq/kg</t>
        </is>
      </c>
      <c r="C16" s="96" t="n">
        <v>0.3042463158</v>
      </c>
      <c r="D16" s="64" t="inlineStr">
        <is>
          <t>-</t>
        </is>
      </c>
      <c r="E16" s="63" t="inlineStr">
        <is>
          <t>-</t>
        </is>
      </c>
      <c r="F16" s="62" t="inlineStr">
        <is>
          <t>-</t>
        </is>
      </c>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Laurent Vandepaer</dc:creator>
  <dcterms:created xmlns:dcterms="http://purl.org/dc/terms/" xmlns:xsi="http://www.w3.org/2001/XMLSchema-instance" xsi:type="dcterms:W3CDTF">2025-10-18T18:25:40Z</dcterms:created>
  <dcterms:modified xmlns:dcterms="http://purl.org/dc/terms/" xmlns:xsi="http://www.w3.org/2001/XMLSchema-instance" xsi:type="dcterms:W3CDTF">2026-02-15T21:25:35Z</dcterms:modified>
  <cp:lastModifiedBy>Emelie Westall Lundqvist</cp:lastModifiedBy>
</cp:coreProperties>
</file>